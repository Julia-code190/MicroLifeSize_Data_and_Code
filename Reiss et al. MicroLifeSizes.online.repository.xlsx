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brunel365-my.sharepoint.com/personal/bjrp001_brunel_ac_uk/Documents/Manuscripts and projects in prep/Reiss et al. body size manual/Submission to Frontiers/"/>
    </mc:Choice>
  </mc:AlternateContent>
  <xr:revisionPtr revIDLastSave="3966" documentId="13_ncr:1_{C8EA29CF-C484-4A93-BDCD-0887D43B4A21}" xr6:coauthVersionLast="47" xr6:coauthVersionMax="47" xr10:uidLastSave="{02F7678B-00F3-4679-9E58-09D828F1ACEB}"/>
  <bookViews>
    <workbookView xWindow="-110" yWindow="-110" windowWidth="19420" windowHeight="10300" tabRatio="655" xr2:uid="{26930AD6-AEBF-432A-8C88-5F93A7808D22}"/>
  </bookViews>
  <sheets>
    <sheet name="readme" sheetId="17" r:id="rId1"/>
    <sheet name="1" sheetId="12" r:id="rId2"/>
    <sheet name="2" sheetId="4" r:id="rId3"/>
    <sheet name="3" sheetId="2" r:id="rId4"/>
    <sheet name="4" sheetId="14" r:id="rId5"/>
    <sheet name="5" sheetId="31" r:id="rId6"/>
    <sheet name="6" sheetId="26" r:id="rId7"/>
    <sheet name="7" sheetId="33" r:id="rId8"/>
    <sheet name="8" sheetId="32" r:id="rId9"/>
    <sheet name="9" sheetId="18" r:id="rId10"/>
    <sheet name="10" sheetId="34" r:id="rId11"/>
  </sheets>
  <calcPr calcId="191028"/>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14" l="1"/>
  <c r="K22" i="14" s="1"/>
  <c r="J8" i="14"/>
  <c r="N26" i="14"/>
  <c r="N25" i="14"/>
  <c r="N24" i="14"/>
  <c r="N23" i="14"/>
  <c r="N21" i="14"/>
  <c r="N19" i="14"/>
  <c r="T22" i="14"/>
  <c r="T15" i="14"/>
  <c r="J15" i="14"/>
  <c r="K15" i="14" s="1"/>
  <c r="D15" i="14"/>
  <c r="D11" i="14"/>
  <c r="T11" i="14"/>
  <c r="J11" i="14"/>
  <c r="K11" i="14" s="1"/>
  <c r="T12" i="14"/>
  <c r="J12" i="14"/>
  <c r="K12" i="14" s="1"/>
  <c r="T6" i="14"/>
  <c r="J6" i="14"/>
  <c r="K6" i="14" s="1"/>
  <c r="D6" i="14"/>
  <c r="T14" i="14"/>
  <c r="J14" i="14"/>
  <c r="K14" i="14" s="1"/>
  <c r="D14" i="14"/>
  <c r="T13" i="14"/>
  <c r="J13" i="14"/>
  <c r="K13" i="14" s="1"/>
  <c r="D13" i="14"/>
  <c r="T23" i="14"/>
  <c r="J23" i="14"/>
  <c r="K23" i="14" s="1"/>
  <c r="D23" i="14"/>
  <c r="D22" i="14"/>
  <c r="T21" i="14"/>
  <c r="J21" i="14"/>
  <c r="K21" i="14" s="1"/>
  <c r="D21" i="14"/>
  <c r="H363" i="12"/>
  <c r="H364" i="12"/>
  <c r="H371" i="12"/>
  <c r="H362" i="12"/>
  <c r="H361" i="12"/>
  <c r="H360" i="12"/>
  <c r="H359" i="12"/>
  <c r="H228" i="12"/>
  <c r="H366" i="12"/>
  <c r="S365" i="12"/>
  <c r="O22" i="14" l="1"/>
  <c r="L22" i="14"/>
  <c r="M22" i="14" s="1"/>
  <c r="N22" i="14" s="1"/>
  <c r="P22" i="14" s="1"/>
  <c r="L15" i="14"/>
  <c r="M15" i="14" s="1"/>
  <c r="N15" i="14" s="1"/>
  <c r="P15" i="14" s="1"/>
  <c r="X15" i="14" s="1"/>
  <c r="L11" i="14"/>
  <c r="M11" i="14" s="1"/>
  <c r="N11" i="14" s="1"/>
  <c r="P11" i="14" s="1"/>
  <c r="X11" i="14" s="1"/>
  <c r="L12" i="14"/>
  <c r="M12" i="14" s="1"/>
  <c r="N12" i="14" s="1"/>
  <c r="P12" i="14" s="1"/>
  <c r="X12" i="14" s="1"/>
  <c r="L6" i="14"/>
  <c r="M6" i="14" s="1"/>
  <c r="N6" i="14" s="1"/>
  <c r="P6" i="14" s="1"/>
  <c r="X6" i="14" s="1"/>
  <c r="L14" i="14"/>
  <c r="M14" i="14" s="1"/>
  <c r="N14" i="14" s="1"/>
  <c r="P14" i="14" s="1"/>
  <c r="X14" i="14" s="1"/>
  <c r="L13" i="14"/>
  <c r="M13" i="14" s="1"/>
  <c r="N13" i="14" s="1"/>
  <c r="P13" i="14" s="1"/>
  <c r="X13" i="14" s="1"/>
  <c r="L23" i="14"/>
  <c r="M23" i="14" s="1"/>
  <c r="P23" i="14" s="1"/>
  <c r="X23" i="14" s="1"/>
  <c r="L21" i="14"/>
  <c r="M21" i="14" s="1"/>
  <c r="P21" i="14" s="1"/>
  <c r="X21" i="14" s="1"/>
  <c r="N59" i="12"/>
  <c r="X22" i="14" l="1"/>
  <c r="S97" i="12"/>
  <c r="S216" i="12"/>
  <c r="S213" i="12"/>
  <c r="I213" i="12" s="1"/>
  <c r="M367" i="12"/>
  <c r="L367" i="12"/>
  <c r="S26" i="12"/>
  <c r="I26" i="12" s="1"/>
  <c r="S25" i="12"/>
  <c r="I25" i="12" s="1"/>
  <c r="S20" i="12"/>
  <c r="I20" i="12" s="1"/>
  <c r="R27" i="12"/>
  <c r="K19" i="12"/>
  <c r="K23" i="12"/>
  <c r="K24" i="12"/>
  <c r="K29" i="12"/>
  <c r="K30" i="12"/>
  <c r="K36" i="12"/>
  <c r="K18"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168" i="12"/>
  <c r="K545" i="12"/>
  <c r="K546" i="12"/>
  <c r="K547" i="12"/>
  <c r="K548" i="12"/>
  <c r="K549" i="12"/>
  <c r="K550" i="12"/>
  <c r="K551" i="12"/>
  <c r="K552" i="12"/>
  <c r="K553" i="12"/>
  <c r="K554" i="12"/>
  <c r="K555" i="12"/>
  <c r="K556" i="12"/>
  <c r="K557" i="12"/>
  <c r="K558" i="12"/>
  <c r="K544" i="12"/>
  <c r="K57" i="12"/>
  <c r="K56" i="12"/>
  <c r="K54" i="12"/>
  <c r="K53" i="12"/>
  <c r="K52" i="12"/>
  <c r="K51" i="12"/>
  <c r="K50" i="12"/>
  <c r="K48" i="12"/>
  <c r="K47" i="12"/>
  <c r="K46" i="12"/>
  <c r="K45" i="12"/>
  <c r="K43" i="12"/>
  <c r="K42" i="12"/>
  <c r="K32" i="12"/>
  <c r="K33" i="12"/>
  <c r="K35" i="12"/>
  <c r="Q24" i="12"/>
  <c r="Q23" i="12"/>
  <c r="Q18" i="12"/>
  <c r="Q30" i="12"/>
  <c r="Q29" i="12"/>
  <c r="Q36" i="12"/>
  <c r="Q32" i="12"/>
  <c r="Q35" i="12"/>
  <c r="Q33" i="12"/>
  <c r="Q19" i="12"/>
  <c r="S24" i="12"/>
  <c r="S23" i="12"/>
  <c r="S18" i="12"/>
  <c r="S30" i="12"/>
  <c r="S29" i="12"/>
  <c r="S36" i="12"/>
  <c r="S32" i="12"/>
  <c r="S35" i="12"/>
  <c r="S33" i="12"/>
  <c r="S19" i="12"/>
  <c r="Q10" i="12" l="1"/>
  <c r="M64" i="12"/>
  <c r="L64" i="12"/>
  <c r="M63" i="12"/>
  <c r="L63" i="12"/>
  <c r="S95" i="12"/>
  <c r="S94" i="12"/>
  <c r="S88" i="12"/>
  <c r="S86" i="12"/>
  <c r="S85" i="12"/>
  <c r="S89" i="12"/>
  <c r="R81" i="12"/>
  <c r="S81" i="12"/>
  <c r="K424" i="12"/>
  <c r="V355" i="12"/>
  <c r="W134" i="12"/>
  <c r="K134" i="12" s="1"/>
  <c r="Q545" i="12"/>
  <c r="Q546" i="12"/>
  <c r="Q547" i="12"/>
  <c r="Q548" i="12"/>
  <c r="Q549" i="12"/>
  <c r="Q550" i="12"/>
  <c r="Q551" i="12"/>
  <c r="Q552" i="12"/>
  <c r="Q553" i="12"/>
  <c r="Q554" i="12"/>
  <c r="Q555" i="12"/>
  <c r="Q556" i="12"/>
  <c r="Q557" i="12"/>
  <c r="Q558"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544" i="12"/>
  <c r="S38" i="12"/>
  <c r="S105" i="12"/>
  <c r="S102" i="12"/>
  <c r="J170" i="12"/>
  <c r="K170" i="12" s="1"/>
  <c r="J169" i="12"/>
  <c r="K169" i="12" s="1"/>
  <c r="K152" i="12"/>
  <c r="K153" i="12"/>
  <c r="K154" i="12"/>
  <c r="K155" i="12"/>
  <c r="K156" i="12"/>
  <c r="K157" i="12"/>
  <c r="K158" i="12"/>
  <c r="K71" i="12"/>
  <c r="K72" i="12"/>
  <c r="K159" i="12"/>
  <c r="K160" i="12"/>
  <c r="K161" i="12"/>
  <c r="K162" i="12"/>
  <c r="K163" i="12"/>
  <c r="K164" i="12"/>
  <c r="K165" i="12"/>
  <c r="K166" i="12"/>
  <c r="K167" i="12"/>
  <c r="K151" i="12"/>
  <c r="R124" i="12"/>
  <c r="R114" i="12"/>
  <c r="R324" i="12"/>
  <c r="R325" i="12"/>
  <c r="R256" i="12"/>
  <c r="R242" i="12"/>
  <c r="R229" i="12"/>
  <c r="R272" i="12"/>
  <c r="R289" i="12"/>
  <c r="R330" i="12"/>
  <c r="R345" i="12"/>
  <c r="R338" i="12"/>
  <c r="R344" i="12"/>
  <c r="R254" i="12"/>
  <c r="R243" i="12"/>
  <c r="R236" i="12"/>
  <c r="R233" i="12"/>
  <c r="R241" i="12"/>
  <c r="R238" i="12"/>
  <c r="R234" i="12"/>
  <c r="R253" i="12"/>
  <c r="R278" i="12"/>
  <c r="R266" i="12"/>
  <c r="R248" i="12"/>
  <c r="R235" i="12"/>
  <c r="R246" i="12"/>
  <c r="R321" i="12"/>
  <c r="R316" i="12"/>
  <c r="R317" i="12"/>
  <c r="R287" i="12"/>
  <c r="R314" i="12"/>
  <c r="R311" i="12"/>
  <c r="R351" i="12"/>
  <c r="R251" i="12"/>
  <c r="R262" i="12"/>
  <c r="R225" i="12"/>
  <c r="R223" i="12"/>
  <c r="R244" i="12"/>
  <c r="R237" i="12"/>
  <c r="R247" i="12"/>
  <c r="R239" i="12"/>
  <c r="R230" i="12"/>
  <c r="R245" i="12"/>
  <c r="R222" i="12"/>
  <c r="R282" i="12"/>
  <c r="R224" i="12"/>
  <c r="R339" i="12"/>
  <c r="R340" i="12"/>
  <c r="R320" i="12"/>
  <c r="R337" i="12"/>
  <c r="R335" i="12"/>
  <c r="R304" i="12"/>
  <c r="R333" i="12"/>
  <c r="R319" i="12"/>
  <c r="R343" i="12"/>
  <c r="R341" i="12"/>
  <c r="R328" i="12"/>
  <c r="R352" i="12"/>
  <c r="R350" i="12"/>
  <c r="R342" i="12"/>
  <c r="R252" i="12"/>
  <c r="R323" i="12"/>
  <c r="R286" i="12"/>
  <c r="R303" i="12"/>
  <c r="R293" i="12"/>
  <c r="R347" i="12"/>
  <c r="R310" i="12"/>
  <c r="R346" i="12"/>
  <c r="R322" i="12"/>
  <c r="R331" i="12"/>
  <c r="R327" i="12"/>
  <c r="R305" i="12"/>
  <c r="R257" i="12"/>
  <c r="R275" i="12"/>
  <c r="R309" i="12"/>
  <c r="R280" i="12"/>
  <c r="R329" i="12"/>
  <c r="R290" i="12"/>
  <c r="R299" i="12"/>
  <c r="R298" i="12"/>
  <c r="R281" i="12"/>
  <c r="R300" i="12"/>
  <c r="R294" i="12"/>
  <c r="R313" i="12"/>
  <c r="R271" i="12"/>
  <c r="R267" i="12"/>
  <c r="R306" i="12"/>
  <c r="R296" i="12"/>
  <c r="R315" i="12"/>
  <c r="R276" i="12"/>
  <c r="R283" i="12"/>
  <c r="R268" i="12"/>
  <c r="R334" i="12"/>
  <c r="R336" i="12"/>
  <c r="R332" i="12"/>
  <c r="R326" i="12"/>
  <c r="R312" i="12"/>
  <c r="R295" i="12"/>
  <c r="R258" i="12"/>
  <c r="R284" i="12"/>
  <c r="R273" i="12"/>
  <c r="R285" i="12"/>
  <c r="R249" i="12"/>
  <c r="R227" i="12"/>
  <c r="R226" i="12"/>
  <c r="R231" i="12"/>
  <c r="R232" i="12"/>
  <c r="R292" i="12"/>
  <c r="R274" i="12"/>
  <c r="R279" i="12"/>
  <c r="R264" i="12"/>
  <c r="R265" i="12"/>
  <c r="R291" i="12"/>
  <c r="R307" i="12"/>
  <c r="R269" i="12"/>
  <c r="R221" i="12"/>
  <c r="R348" i="12"/>
  <c r="R349" i="12"/>
  <c r="R277" i="12"/>
  <c r="R259" i="12"/>
  <c r="R297" i="12"/>
  <c r="R260" i="12"/>
  <c r="R261" i="12"/>
  <c r="R250" i="12"/>
  <c r="R301" i="12"/>
  <c r="R308" i="12"/>
  <c r="R318" i="12"/>
  <c r="R263" i="12"/>
  <c r="R288" i="12"/>
  <c r="R302" i="12"/>
  <c r="R255" i="12"/>
  <c r="R270" i="12"/>
  <c r="R240" i="12"/>
  <c r="R57" i="12"/>
  <c r="H56" i="12"/>
  <c r="H53" i="12"/>
  <c r="H54" i="12"/>
  <c r="H50" i="12"/>
  <c r="H51" i="12"/>
  <c r="H48" i="12"/>
  <c r="H47" i="12"/>
  <c r="H52" i="12"/>
  <c r="H46" i="12"/>
  <c r="H45" i="12"/>
  <c r="H42" i="12"/>
  <c r="H43" i="12"/>
  <c r="H324" i="12"/>
  <c r="H325" i="12"/>
  <c r="H256" i="12"/>
  <c r="H242" i="12"/>
  <c r="H229" i="12"/>
  <c r="H272" i="12"/>
  <c r="H289" i="12"/>
  <c r="H330" i="12"/>
  <c r="H345" i="12"/>
  <c r="H338" i="12"/>
  <c r="H344" i="12"/>
  <c r="H254" i="12"/>
  <c r="H243" i="12"/>
  <c r="H236" i="12"/>
  <c r="H233" i="12"/>
  <c r="H241" i="12"/>
  <c r="H238" i="12"/>
  <c r="H234" i="12"/>
  <c r="H253" i="12"/>
  <c r="H278" i="12"/>
  <c r="H266" i="12"/>
  <c r="H248" i="12"/>
  <c r="H235" i="12"/>
  <c r="H246" i="12"/>
  <c r="H321" i="12"/>
  <c r="H316" i="12"/>
  <c r="H317" i="12"/>
  <c r="H287" i="12"/>
  <c r="H314" i="12"/>
  <c r="H311" i="12"/>
  <c r="H351" i="12"/>
  <c r="H251" i="12"/>
  <c r="H262" i="12"/>
  <c r="H225" i="12"/>
  <c r="H223" i="12"/>
  <c r="H244" i="12"/>
  <c r="H237" i="12"/>
  <c r="H247" i="12"/>
  <c r="H239" i="12"/>
  <c r="H230" i="12"/>
  <c r="H245" i="12"/>
  <c r="H222" i="12"/>
  <c r="H282" i="12"/>
  <c r="H224" i="12"/>
  <c r="H339" i="12"/>
  <c r="H340" i="12"/>
  <c r="H320" i="12"/>
  <c r="H337" i="12"/>
  <c r="H335" i="12"/>
  <c r="H304" i="12"/>
  <c r="H333" i="12"/>
  <c r="H319" i="12"/>
  <c r="H343" i="12"/>
  <c r="H341" i="12"/>
  <c r="H328" i="12"/>
  <c r="H352" i="12"/>
  <c r="H350" i="12"/>
  <c r="H342" i="12"/>
  <c r="H252" i="12"/>
  <c r="H323" i="12"/>
  <c r="H286" i="12"/>
  <c r="H303" i="12"/>
  <c r="H293" i="12"/>
  <c r="H347" i="12"/>
  <c r="H310" i="12"/>
  <c r="H346" i="12"/>
  <c r="H322" i="12"/>
  <c r="H331" i="12"/>
  <c r="H327" i="12"/>
  <c r="H305" i="12"/>
  <c r="H257" i="12"/>
  <c r="H275" i="12"/>
  <c r="H309" i="12"/>
  <c r="H280" i="12"/>
  <c r="H329" i="12"/>
  <c r="H290" i="12"/>
  <c r="H299" i="12"/>
  <c r="H298" i="12"/>
  <c r="H281" i="12"/>
  <c r="H300" i="12"/>
  <c r="H294" i="12"/>
  <c r="H313" i="12"/>
  <c r="H271" i="12"/>
  <c r="H267" i="12"/>
  <c r="H306" i="12"/>
  <c r="H296" i="12"/>
  <c r="H315" i="12"/>
  <c r="H276" i="12"/>
  <c r="H283" i="12"/>
  <c r="H268" i="12"/>
  <c r="H334" i="12"/>
  <c r="H336" i="12"/>
  <c r="H332" i="12"/>
  <c r="H326" i="12"/>
  <c r="H312" i="12"/>
  <c r="H295" i="12"/>
  <c r="H258" i="12"/>
  <c r="H284" i="12"/>
  <c r="H273" i="12"/>
  <c r="H285" i="12"/>
  <c r="H249" i="12"/>
  <c r="H227" i="12"/>
  <c r="H226" i="12"/>
  <c r="H231" i="12"/>
  <c r="H232" i="12"/>
  <c r="H292" i="12"/>
  <c r="H274" i="12"/>
  <c r="H279" i="12"/>
  <c r="H264" i="12"/>
  <c r="H265" i="12"/>
  <c r="H291" i="12"/>
  <c r="H307" i="12"/>
  <c r="H269" i="12"/>
  <c r="H221" i="12"/>
  <c r="H348" i="12"/>
  <c r="H349" i="12"/>
  <c r="H277" i="12"/>
  <c r="H259" i="12"/>
  <c r="H297" i="12"/>
  <c r="H260" i="12"/>
  <c r="H261" i="12"/>
  <c r="H250" i="12"/>
  <c r="H301" i="12"/>
  <c r="H308" i="12"/>
  <c r="H318" i="12"/>
  <c r="H263" i="12"/>
  <c r="H288" i="12"/>
  <c r="H302" i="12"/>
  <c r="H255" i="12"/>
  <c r="H270" i="12"/>
  <c r="H240" i="12"/>
  <c r="H57" i="12"/>
  <c r="R56" i="12"/>
  <c r="R53" i="12"/>
  <c r="R54" i="12"/>
  <c r="R50" i="12"/>
  <c r="R51" i="12"/>
  <c r="R48" i="12"/>
  <c r="R47" i="12"/>
  <c r="R52" i="12"/>
  <c r="R46" i="12"/>
  <c r="R45" i="12"/>
  <c r="R42" i="12"/>
  <c r="R43" i="12"/>
  <c r="R374" i="12"/>
  <c r="N11" i="26"/>
  <c r="O11" i="26" s="1"/>
  <c r="L11" i="26"/>
  <c r="J26" i="14"/>
  <c r="K26" i="14" s="1"/>
  <c r="J25" i="14"/>
  <c r="K25" i="14" s="1"/>
  <c r="J10" i="14"/>
  <c r="J9" i="14"/>
  <c r="K9" i="14" s="1"/>
  <c r="J7" i="14"/>
  <c r="K7" i="14" s="1"/>
  <c r="J5" i="14"/>
  <c r="K5" i="14" s="1"/>
  <c r="J24" i="14"/>
  <c r="K24" i="14" s="1"/>
  <c r="R371" i="12"/>
  <c r="R364" i="12"/>
  <c r="Q363" i="12"/>
  <c r="S363" i="12" s="1"/>
  <c r="Q359" i="12"/>
  <c r="S359" i="12" s="1"/>
  <c r="R359" i="12"/>
  <c r="W135" i="12"/>
  <c r="K136" i="12"/>
  <c r="W136" i="12" s="1"/>
  <c r="K425" i="12"/>
  <c r="K426" i="12"/>
  <c r="K427" i="12"/>
  <c r="K428" i="12"/>
  <c r="K429" i="12"/>
  <c r="K430" i="12"/>
  <c r="K431" i="12"/>
  <c r="K432" i="12"/>
  <c r="K433" i="12"/>
  <c r="K435" i="12"/>
  <c r="K436" i="12"/>
  <c r="K437" i="12"/>
  <c r="K438" i="12"/>
  <c r="K439" i="12"/>
  <c r="K440" i="12"/>
  <c r="K441" i="12"/>
  <c r="K442" i="12"/>
  <c r="K443" i="12"/>
  <c r="K444" i="12"/>
  <c r="K445" i="12"/>
  <c r="K446" i="12"/>
  <c r="K447" i="12"/>
  <c r="K448" i="12"/>
  <c r="K449" i="12"/>
  <c r="K450" i="12"/>
  <c r="K451" i="12"/>
  <c r="K452" i="12"/>
  <c r="K453" i="12"/>
  <c r="K454" i="12"/>
  <c r="K455" i="12"/>
  <c r="K456" i="12"/>
  <c r="K457" i="12"/>
  <c r="K458" i="12"/>
  <c r="K459" i="12"/>
  <c r="K460" i="12"/>
  <c r="K461" i="12"/>
  <c r="K462" i="12"/>
  <c r="K463" i="12"/>
  <c r="K464" i="12"/>
  <c r="K465" i="12"/>
  <c r="K466" i="12"/>
  <c r="K467" i="12"/>
  <c r="K468" i="12"/>
  <c r="K469" i="12"/>
  <c r="K470" i="12"/>
  <c r="K471" i="12"/>
  <c r="K472" i="12"/>
  <c r="K473" i="12"/>
  <c r="K474" i="12"/>
  <c r="K475" i="12"/>
  <c r="K476" i="12"/>
  <c r="K477" i="12"/>
  <c r="K478" i="12"/>
  <c r="K479" i="12"/>
  <c r="K480" i="12"/>
  <c r="K481" i="12"/>
  <c r="K482" i="12"/>
  <c r="K483" i="12"/>
  <c r="K484" i="12"/>
  <c r="K485" i="12"/>
  <c r="K486" i="12"/>
  <c r="K487" i="12"/>
  <c r="K488" i="12"/>
  <c r="K489" i="12"/>
  <c r="K490" i="12"/>
  <c r="K491" i="12"/>
  <c r="K492" i="12"/>
  <c r="K493" i="12"/>
  <c r="K494" i="12"/>
  <c r="K495" i="12"/>
  <c r="K496" i="12"/>
  <c r="K497" i="12"/>
  <c r="K498" i="12"/>
  <c r="K499" i="12"/>
  <c r="K500" i="12"/>
  <c r="K501" i="12"/>
  <c r="K502" i="12"/>
  <c r="K503" i="12"/>
  <c r="K504" i="12"/>
  <c r="K505" i="12"/>
  <c r="K506" i="12"/>
  <c r="K507" i="12"/>
  <c r="K508" i="12"/>
  <c r="K509" i="12"/>
  <c r="K510" i="12"/>
  <c r="K511" i="12"/>
  <c r="K512" i="12"/>
  <c r="K513" i="12"/>
  <c r="K514" i="12"/>
  <c r="K515" i="12"/>
  <c r="K516" i="12"/>
  <c r="K517" i="12"/>
  <c r="K518" i="12"/>
  <c r="K519" i="12"/>
  <c r="K520" i="12"/>
  <c r="K521" i="12"/>
  <c r="K522" i="12"/>
  <c r="K523" i="12"/>
  <c r="K524" i="12"/>
  <c r="K525" i="12"/>
  <c r="K526" i="12"/>
  <c r="K527" i="12"/>
  <c r="K528" i="12"/>
  <c r="K529" i="12"/>
  <c r="K530" i="12"/>
  <c r="K531" i="12"/>
  <c r="K532" i="12"/>
  <c r="K533" i="12"/>
  <c r="K534" i="12"/>
  <c r="K535" i="12"/>
  <c r="K536" i="12"/>
  <c r="K93" i="12"/>
  <c r="K92" i="12"/>
  <c r="K90" i="12"/>
  <c r="K84" i="12"/>
  <c r="K83" i="12"/>
  <c r="K82" i="12"/>
  <c r="K80" i="12"/>
  <c r="K79" i="12"/>
  <c r="K78" i="12"/>
  <c r="K66" i="12"/>
  <c r="K65" i="12"/>
  <c r="K31" i="12"/>
  <c r="K27" i="12"/>
  <c r="K21" i="12"/>
  <c r="S98" i="12"/>
  <c r="O16" i="12"/>
  <c r="Q16" i="12" s="1"/>
  <c r="L141" i="12"/>
  <c r="M141" i="12"/>
  <c r="L142" i="12"/>
  <c r="M142" i="12"/>
  <c r="L143" i="12"/>
  <c r="M143" i="12"/>
  <c r="L144" i="12"/>
  <c r="M144" i="12"/>
  <c r="L145" i="12"/>
  <c r="M145" i="12"/>
  <c r="L146" i="12"/>
  <c r="M146" i="12"/>
  <c r="L566" i="12"/>
  <c r="M566" i="12"/>
  <c r="L567" i="12"/>
  <c r="M567" i="12"/>
  <c r="L353" i="12"/>
  <c r="M353" i="12"/>
  <c r="L354" i="12"/>
  <c r="M354" i="12"/>
  <c r="L368" i="12"/>
  <c r="M368" i="12"/>
  <c r="L369" i="12"/>
  <c r="M369" i="12"/>
  <c r="L370" i="12"/>
  <c r="M370" i="12"/>
  <c r="M379" i="12"/>
  <c r="L379" i="12"/>
  <c r="M378" i="12"/>
  <c r="L378" i="12"/>
  <c r="V140" i="12"/>
  <c r="L140" i="12" s="1"/>
  <c r="M140" i="12" s="1"/>
  <c r="M130" i="12"/>
  <c r="L130" i="12"/>
  <c r="M13" i="12"/>
  <c r="L13" i="12"/>
  <c r="M58" i="12"/>
  <c r="L58" i="12"/>
  <c r="M59" i="12"/>
  <c r="L59" i="12"/>
  <c r="T5" i="14"/>
  <c r="O21" i="14" s="1"/>
  <c r="J19" i="14"/>
  <c r="AE11" i="31"/>
  <c r="D19" i="14"/>
  <c r="T19" i="14"/>
  <c r="Z41" i="31"/>
  <c r="Y41" i="31"/>
  <c r="X41" i="31"/>
  <c r="W25" i="31"/>
  <c r="AG61" i="31"/>
  <c r="AG62" i="31"/>
  <c r="AG63" i="31"/>
  <c r="AG64" i="31"/>
  <c r="AG65" i="31"/>
  <c r="AG69" i="31"/>
  <c r="AG70" i="31"/>
  <c r="AG71" i="31"/>
  <c r="AG72" i="31"/>
  <c r="AG73" i="31"/>
  <c r="AG74" i="31"/>
  <c r="AG75" i="31"/>
  <c r="AG76" i="31"/>
  <c r="AG54" i="31"/>
  <c r="AF31" i="31"/>
  <c r="AF32" i="31"/>
  <c r="AF33" i="31"/>
  <c r="AF34" i="31"/>
  <c r="AF35" i="31"/>
  <c r="AF36" i="31"/>
  <c r="AF37" i="31"/>
  <c r="AF38" i="31"/>
  <c r="AF40" i="31"/>
  <c r="AF30" i="31"/>
  <c r="AI10" i="31"/>
  <c r="AI13" i="31"/>
  <c r="AI16" i="31"/>
  <c r="AI23" i="31"/>
  <c r="AI24" i="31"/>
  <c r="AI27" i="31"/>
  <c r="AI28" i="31"/>
  <c r="AI38" i="31"/>
  <c r="AI39" i="31"/>
  <c r="AI40" i="31"/>
  <c r="AI43" i="31"/>
  <c r="AI44" i="31"/>
  <c r="AI45" i="31"/>
  <c r="AI46" i="31"/>
  <c r="AI47" i="31"/>
  <c r="AI48" i="31"/>
  <c r="AI49" i="31"/>
  <c r="AI50" i="31"/>
  <c r="AI51" i="31"/>
  <c r="AI52" i="31"/>
  <c r="AI53" i="31"/>
  <c r="AI55" i="31"/>
  <c r="AI56" i="31"/>
  <c r="AI57" i="31"/>
  <c r="AI58" i="31"/>
  <c r="AI59" i="31"/>
  <c r="AI60" i="31"/>
  <c r="AI5" i="31"/>
  <c r="AI7" i="31"/>
  <c r="AI8" i="31"/>
  <c r="AI4" i="31"/>
  <c r="W9" i="31"/>
  <c r="X9" i="31" s="1"/>
  <c r="U62" i="31"/>
  <c r="X62" i="31" s="1"/>
  <c r="U61" i="31"/>
  <c r="X61" i="31" s="1"/>
  <c r="U73" i="31"/>
  <c r="X73" i="31" s="1"/>
  <c r="U71" i="31"/>
  <c r="X71" i="31" s="1"/>
  <c r="U70" i="31"/>
  <c r="X70" i="31" s="1"/>
  <c r="U65" i="31"/>
  <c r="X65" i="31" s="1"/>
  <c r="Z60" i="31"/>
  <c r="AK60" i="31" s="1"/>
  <c r="Z59" i="31"/>
  <c r="U60" i="31"/>
  <c r="U59" i="31"/>
  <c r="Z43" i="31"/>
  <c r="L2" i="26"/>
  <c r="S92" i="12"/>
  <c r="S80" i="12"/>
  <c r="S83" i="12"/>
  <c r="S84" i="12"/>
  <c r="S82" i="12"/>
  <c r="S78" i="12"/>
  <c r="S79" i="12"/>
  <c r="S93" i="12"/>
  <c r="S495" i="12"/>
  <c r="S484" i="12"/>
  <c r="S512" i="12"/>
  <c r="S490" i="12"/>
  <c r="S522" i="12"/>
  <c r="S500" i="12"/>
  <c r="S503" i="12"/>
  <c r="S470" i="12"/>
  <c r="S479" i="12"/>
  <c r="S508" i="12"/>
  <c r="S518" i="12"/>
  <c r="S532" i="12"/>
  <c r="S513" i="12"/>
  <c r="S502" i="12"/>
  <c r="S516" i="12"/>
  <c r="S514" i="12"/>
  <c r="S473" i="12"/>
  <c r="S504" i="12"/>
  <c r="S525" i="12"/>
  <c r="S527" i="12"/>
  <c r="S488" i="12"/>
  <c r="S519" i="12"/>
  <c r="S531" i="12"/>
  <c r="S533" i="12"/>
  <c r="S475" i="12"/>
  <c r="S530" i="12"/>
  <c r="S528" i="12"/>
  <c r="S523" i="12"/>
  <c r="S467" i="12"/>
  <c r="S517" i="12"/>
  <c r="S524" i="12"/>
  <c r="S529" i="12"/>
  <c r="S510" i="12"/>
  <c r="S509" i="12"/>
  <c r="S498" i="12"/>
  <c r="S489" i="12"/>
  <c r="S476" i="12"/>
  <c r="S520" i="12"/>
  <c r="S501" i="12"/>
  <c r="S444" i="12"/>
  <c r="S493" i="12"/>
  <c r="S477" i="12"/>
  <c r="S481" i="12"/>
  <c r="S450" i="12"/>
  <c r="S506" i="12"/>
  <c r="S494" i="12"/>
  <c r="S447" i="12"/>
  <c r="S461" i="12"/>
  <c r="S497" i="12"/>
  <c r="S480" i="12"/>
  <c r="S435" i="12"/>
  <c r="S427" i="12"/>
  <c r="S458" i="12"/>
  <c r="S496" i="12"/>
  <c r="S453" i="12"/>
  <c r="S465" i="12"/>
  <c r="S521" i="12"/>
  <c r="S471" i="12"/>
  <c r="S486" i="12"/>
  <c r="S469" i="12"/>
  <c r="S472" i="12"/>
  <c r="S436" i="12"/>
  <c r="S442" i="12"/>
  <c r="S526" i="12"/>
  <c r="S430" i="12"/>
  <c r="S441" i="12"/>
  <c r="S428" i="12"/>
  <c r="S429" i="12"/>
  <c r="S424" i="12"/>
  <c r="S457" i="12"/>
  <c r="S451" i="12"/>
  <c r="S437" i="12"/>
  <c r="S440" i="12"/>
  <c r="S478" i="12"/>
  <c r="S463" i="12"/>
  <c r="S460" i="12"/>
  <c r="S487" i="12"/>
  <c r="S515" i="12"/>
  <c r="S507" i="12"/>
  <c r="S459" i="12"/>
  <c r="S443" i="12"/>
  <c r="S466" i="12"/>
  <c r="S534" i="12"/>
  <c r="S536" i="12"/>
  <c r="S432" i="12"/>
  <c r="S474" i="12"/>
  <c r="S446" i="12"/>
  <c r="S431" i="12"/>
  <c r="S485" i="12"/>
  <c r="S464" i="12"/>
  <c r="S452" i="12"/>
  <c r="S456" i="12"/>
  <c r="S433" i="12"/>
  <c r="S438" i="12"/>
  <c r="S425" i="12"/>
  <c r="S434" i="12"/>
  <c r="S448" i="12"/>
  <c r="S535" i="12"/>
  <c r="S511" i="12"/>
  <c r="S505" i="12"/>
  <c r="S445" i="12"/>
  <c r="S449" i="12"/>
  <c r="S492" i="12"/>
  <c r="S462" i="12"/>
  <c r="S454" i="12"/>
  <c r="S483" i="12"/>
  <c r="S468" i="12"/>
  <c r="S482" i="12"/>
  <c r="S439" i="12"/>
  <c r="S499" i="12"/>
  <c r="S426" i="12"/>
  <c r="S455" i="12"/>
  <c r="S491" i="12"/>
  <c r="S208" i="12"/>
  <c r="K10" i="14" l="1"/>
  <c r="L10" i="14" s="1"/>
  <c r="M10" i="14" s="1"/>
  <c r="N10" i="14" s="1"/>
  <c r="P10" i="14" s="1"/>
  <c r="K19" i="14"/>
  <c r="O19" i="14" s="1"/>
  <c r="O5" i="14"/>
  <c r="N140" i="12"/>
  <c r="Y9" i="31"/>
  <c r="Z9" i="31" s="1"/>
  <c r="AA9" i="31" s="1"/>
  <c r="Y62" i="31"/>
  <c r="Z62" i="31" s="1"/>
  <c r="AA62" i="31" s="1"/>
  <c r="W62" i="31"/>
  <c r="Y61" i="31"/>
  <c r="Z61" i="31" s="1"/>
  <c r="AA61" i="31" s="1"/>
  <c r="W61" i="31"/>
  <c r="Y73" i="31"/>
  <c r="Z73" i="31" s="1"/>
  <c r="AA73" i="31" s="1"/>
  <c r="W73" i="31"/>
  <c r="Y71" i="31"/>
  <c r="Z71" i="31" s="1"/>
  <c r="AA71" i="31" s="1"/>
  <c r="W71" i="31"/>
  <c r="Y70" i="31"/>
  <c r="Z70" i="31" s="1"/>
  <c r="AA70" i="31" s="1"/>
  <c r="W70" i="31"/>
  <c r="Y65" i="31"/>
  <c r="Z65" i="31" s="1"/>
  <c r="AA65" i="31" s="1"/>
  <c r="W65" i="31"/>
  <c r="R121" i="12"/>
  <c r="R119" i="12"/>
  <c r="R123" i="12"/>
  <c r="AA69" i="31"/>
  <c r="W22" i="31"/>
  <c r="AI22" i="31" s="1"/>
  <c r="U64" i="31"/>
  <c r="Y64" i="31" s="1"/>
  <c r="U68" i="31"/>
  <c r="Y68" i="31" s="1"/>
  <c r="Z68" i="31" s="1"/>
  <c r="R366" i="12"/>
  <c r="R228" i="12"/>
  <c r="R86" i="12"/>
  <c r="R95" i="12"/>
  <c r="R88" i="12"/>
  <c r="R85" i="12"/>
  <c r="R89" i="12"/>
  <c r="R94" i="12"/>
  <c r="S104" i="12"/>
  <c r="S101" i="12"/>
  <c r="K67" i="12"/>
  <c r="J68" i="12"/>
  <c r="K68" i="12" s="1"/>
  <c r="U67" i="31"/>
  <c r="X67" i="31" s="1"/>
  <c r="W54" i="31"/>
  <c r="AK54" i="31"/>
  <c r="Z54" i="31" s="1"/>
  <c r="AA54" i="31" s="1"/>
  <c r="U66" i="31"/>
  <c r="J15" i="12"/>
  <c r="K15" i="12" s="1"/>
  <c r="J14" i="12"/>
  <c r="K14" i="12" s="1"/>
  <c r="L19" i="14" l="1"/>
  <c r="M19" i="14" s="1"/>
  <c r="P19" i="14" s="1"/>
  <c r="X19" i="14" s="1"/>
  <c r="AI54" i="31"/>
  <c r="AI9" i="31"/>
  <c r="AB9" i="31"/>
  <c r="AD9" i="31" s="1"/>
  <c r="X66" i="31"/>
  <c r="Y66" i="31" s="1"/>
  <c r="Z66" i="31" s="1"/>
  <c r="AA66" i="31" s="1"/>
  <c r="AB65" i="31"/>
  <c r="AI65" i="31"/>
  <c r="AB70" i="31"/>
  <c r="AI70" i="31"/>
  <c r="AB71" i="31"/>
  <c r="AI71" i="31"/>
  <c r="AB73" i="31"/>
  <c r="AI73" i="31"/>
  <c r="AB61" i="31"/>
  <c r="AI61" i="31"/>
  <c r="AB69" i="31"/>
  <c r="AB62" i="31"/>
  <c r="AI62" i="31"/>
  <c r="Y67" i="31"/>
  <c r="Z67" i="31" s="1"/>
  <c r="W67" i="31"/>
  <c r="W66" i="31"/>
  <c r="R116" i="12"/>
  <c r="R113" i="12"/>
  <c r="R120" i="12"/>
  <c r="R117" i="12"/>
  <c r="R115" i="12"/>
  <c r="AK65" i="31" l="1"/>
  <c r="AK67" i="31"/>
  <c r="AB67" i="31"/>
  <c r="AB54" i="31"/>
  <c r="AK66" i="31"/>
  <c r="AB66" i="31"/>
  <c r="T10" i="14"/>
  <c r="O12" i="14" s="1"/>
  <c r="D10" i="14"/>
  <c r="T8" i="14"/>
  <c r="D8" i="14"/>
  <c r="W33" i="31"/>
  <c r="AK33" i="31" s="1"/>
  <c r="AA33" i="31" s="1"/>
  <c r="AI33" i="31" s="1"/>
  <c r="W21" i="31"/>
  <c r="X21" i="31" s="1"/>
  <c r="Y21" i="31" s="1"/>
  <c r="Z21" i="31" s="1"/>
  <c r="AA21" i="31" s="1"/>
  <c r="U33" i="31"/>
  <c r="X33" i="31" s="1"/>
  <c r="AK72" i="31"/>
  <c r="W76" i="31"/>
  <c r="X76" i="31" s="1"/>
  <c r="Y76" i="31" s="1"/>
  <c r="Z76" i="31" s="1"/>
  <c r="AA76" i="31" s="1"/>
  <c r="U74" i="31"/>
  <c r="U72" i="31"/>
  <c r="W72" i="31" s="1"/>
  <c r="AI72" i="31" s="1"/>
  <c r="Z55" i="31"/>
  <c r="AK55" i="31" s="1"/>
  <c r="Z52" i="31"/>
  <c r="AK52" i="31" s="1"/>
  <c r="Z51" i="31"/>
  <c r="AK51" i="31" s="1"/>
  <c r="U42" i="31"/>
  <c r="U41" i="31"/>
  <c r="U63" i="31"/>
  <c r="W63" i="31" s="1"/>
  <c r="U29" i="31"/>
  <c r="U75" i="31"/>
  <c r="U35" i="31"/>
  <c r="X35" i="31" s="1"/>
  <c r="U36" i="31"/>
  <c r="X36" i="31" s="1"/>
  <c r="S99" i="12"/>
  <c r="S96" i="12"/>
  <c r="U30" i="31"/>
  <c r="X30" i="31" s="1"/>
  <c r="U34" i="31"/>
  <c r="X34" i="31" s="1"/>
  <c r="U32" i="31"/>
  <c r="X32" i="31" s="1"/>
  <c r="U31" i="31"/>
  <c r="X31" i="31" s="1"/>
  <c r="P19" i="31"/>
  <c r="W19" i="31"/>
  <c r="AI19" i="31" s="1"/>
  <c r="P12" i="31"/>
  <c r="P11" i="31"/>
  <c r="W11" i="31"/>
  <c r="AB11" i="31" s="1"/>
  <c r="W12" i="31"/>
  <c r="AI12" i="31" s="1"/>
  <c r="O63" i="31"/>
  <c r="P17" i="31"/>
  <c r="W17" i="31"/>
  <c r="X17" i="31" s="1"/>
  <c r="W20" i="31"/>
  <c r="AL20" i="31" s="1"/>
  <c r="AK20" i="31" s="1"/>
  <c r="W14" i="31"/>
  <c r="P14" i="31"/>
  <c r="P18" i="31"/>
  <c r="W18" i="31"/>
  <c r="O15" i="31"/>
  <c r="W15" i="31"/>
  <c r="U37" i="31"/>
  <c r="X37" i="31" s="1"/>
  <c r="Y37" i="31" s="1"/>
  <c r="Z37" i="31" s="1"/>
  <c r="AA37" i="31" s="1"/>
  <c r="O37" i="31"/>
  <c r="O76" i="31"/>
  <c r="O75" i="31"/>
  <c r="W26" i="31"/>
  <c r="X26" i="31" s="1"/>
  <c r="Y26" i="31" s="1"/>
  <c r="Z26" i="31" s="1"/>
  <c r="AA26" i="31" s="1"/>
  <c r="O26" i="31"/>
  <c r="O9" i="31"/>
  <c r="W6" i="31"/>
  <c r="O21" i="31"/>
  <c r="X25" i="31"/>
  <c r="O25" i="31"/>
  <c r="N10" i="26"/>
  <c r="O10" i="26" s="1"/>
  <c r="N9" i="26"/>
  <c r="O9" i="26" s="1"/>
  <c r="N8" i="26"/>
  <c r="O8" i="26" s="1"/>
  <c r="N7" i="26"/>
  <c r="O7" i="26" s="1"/>
  <c r="N6" i="26"/>
  <c r="O6" i="26" s="1"/>
  <c r="N5" i="26"/>
  <c r="O5" i="26" s="1"/>
  <c r="N4" i="26"/>
  <c r="O4" i="26" s="1"/>
  <c r="N3" i="26"/>
  <c r="O3" i="26" s="1"/>
  <c r="N2" i="26"/>
  <c r="O2" i="26" s="1"/>
  <c r="L10" i="26"/>
  <c r="L9" i="26"/>
  <c r="L8" i="26"/>
  <c r="L7" i="26"/>
  <c r="L6" i="26"/>
  <c r="L5" i="26"/>
  <c r="L4" i="26"/>
  <c r="L3" i="26"/>
  <c r="T7" i="14"/>
  <c r="O7" i="14" s="1"/>
  <c r="T9" i="14"/>
  <c r="O9" i="14" s="1"/>
  <c r="T24" i="14"/>
  <c r="T25" i="14"/>
  <c r="O25" i="14" s="1"/>
  <c r="T26" i="14"/>
  <c r="G8" i="12"/>
  <c r="R8" i="12" s="1"/>
  <c r="S108" i="12"/>
  <c r="O24" i="14" l="1"/>
  <c r="O15" i="14"/>
  <c r="O6" i="14"/>
  <c r="O11" i="14"/>
  <c r="O26" i="14"/>
  <c r="O14" i="14"/>
  <c r="O13" i="14"/>
  <c r="O10" i="14"/>
  <c r="O23" i="14"/>
  <c r="L26" i="14"/>
  <c r="M26" i="14" s="1"/>
  <c r="P26" i="14" s="1"/>
  <c r="AB26" i="31"/>
  <c r="AI26" i="31"/>
  <c r="AB21" i="31"/>
  <c r="AE21" i="31" s="1"/>
  <c r="AI21" i="31"/>
  <c r="X18" i="31"/>
  <c r="AI18" i="31"/>
  <c r="X6" i="31"/>
  <c r="Y6" i="31" s="1"/>
  <c r="AI6" i="31"/>
  <c r="AI14" i="31"/>
  <c r="X14" i="31"/>
  <c r="AB76" i="31"/>
  <c r="AI76" i="31"/>
  <c r="X29" i="31"/>
  <c r="Y29" i="31" s="1"/>
  <c r="Z29" i="31" s="1"/>
  <c r="AK29" i="31" s="1"/>
  <c r="AK76" i="31"/>
  <c r="AB37" i="31"/>
  <c r="AI15" i="31"/>
  <c r="X15" i="31"/>
  <c r="H54" i="31"/>
  <c r="X42" i="31"/>
  <c r="X74" i="31"/>
  <c r="W74" i="31" s="1"/>
  <c r="X10" i="14"/>
  <c r="AB33" i="31"/>
  <c r="X63" i="31"/>
  <c r="Y63" i="31" s="1"/>
  <c r="Z63" i="31" s="1"/>
  <c r="AA63" i="31" s="1"/>
  <c r="W75" i="31"/>
  <c r="X75" i="31" s="1"/>
  <c r="Y75" i="31" s="1"/>
  <c r="Z75" i="31" s="1"/>
  <c r="AA75" i="31" s="1"/>
  <c r="AI75" i="31" s="1"/>
  <c r="AK59" i="31"/>
  <c r="W29" i="31"/>
  <c r="AI29" i="31" s="1"/>
  <c r="W31" i="31"/>
  <c r="AK31" i="31" s="1"/>
  <c r="AA31" i="31" s="1"/>
  <c r="W36" i="31"/>
  <c r="W35" i="31"/>
  <c r="AK35" i="31" s="1"/>
  <c r="AA35" i="31" s="1"/>
  <c r="AB15" i="31"/>
  <c r="AE15" i="31" s="1"/>
  <c r="W30" i="31"/>
  <c r="W34" i="31"/>
  <c r="AK34" i="31" s="1"/>
  <c r="AA34" i="31" s="1"/>
  <c r="W32" i="31"/>
  <c r="Z17" i="31"/>
  <c r="AA17" i="31" s="1"/>
  <c r="AB19" i="31"/>
  <c r="AE19" i="31" s="1"/>
  <c r="AB12" i="31"/>
  <c r="AE12" i="31" s="1"/>
  <c r="AA11" i="31"/>
  <c r="AI11" i="31" s="1"/>
  <c r="AA20" i="31"/>
  <c r="AB18" i="31"/>
  <c r="AE18" i="31" s="1"/>
  <c r="AB14" i="31"/>
  <c r="AE14" i="31" s="1"/>
  <c r="H37" i="31"/>
  <c r="H9" i="31"/>
  <c r="W37" i="31"/>
  <c r="AI37" i="31" s="1"/>
  <c r="H21" i="31"/>
  <c r="Y25" i="31"/>
  <c r="Z25" i="31" s="1"/>
  <c r="AA25" i="31" s="1"/>
  <c r="R126" i="12"/>
  <c r="D9" i="14"/>
  <c r="S3" i="12"/>
  <c r="S5" i="12"/>
  <c r="L9" i="14" l="1"/>
  <c r="H26" i="31"/>
  <c r="AE26" i="31"/>
  <c r="AB34" i="31"/>
  <c r="H34" i="31" s="1"/>
  <c r="AI34" i="31"/>
  <c r="AB20" i="31"/>
  <c r="AE20" i="31" s="1"/>
  <c r="AI20" i="31"/>
  <c r="AB17" i="31"/>
  <c r="AI17" i="31"/>
  <c r="AB25" i="31"/>
  <c r="AE25" i="31" s="1"/>
  <c r="AI25" i="31"/>
  <c r="Y42" i="31"/>
  <c r="Z42" i="31" s="1"/>
  <c r="W42" i="31"/>
  <c r="W41" i="31"/>
  <c r="AB35" i="31"/>
  <c r="H35" i="31" s="1"/>
  <c r="AI35" i="31"/>
  <c r="AB31" i="31"/>
  <c r="AI31" i="31"/>
  <c r="AB63" i="31"/>
  <c r="H63" i="31" s="1"/>
  <c r="AI63" i="31"/>
  <c r="AB75" i="31"/>
  <c r="H75" i="31" s="1"/>
  <c r="AK61" i="31"/>
  <c r="AK71" i="31"/>
  <c r="AK73" i="31"/>
  <c r="Y74" i="31"/>
  <c r="Z74" i="31" s="1"/>
  <c r="AK32" i="31"/>
  <c r="AA32" i="31" s="1"/>
  <c r="H33" i="31"/>
  <c r="AK30" i="31"/>
  <c r="AA30" i="31" s="1"/>
  <c r="H76" i="31"/>
  <c r="H15" i="31"/>
  <c r="H31" i="31"/>
  <c r="AK36" i="31"/>
  <c r="AA36" i="31" s="1"/>
  <c r="H20" i="31"/>
  <c r="H19" i="31"/>
  <c r="H11" i="31"/>
  <c r="H12" i="31"/>
  <c r="H14" i="31"/>
  <c r="H18" i="31"/>
  <c r="H25" i="31"/>
  <c r="D26" i="14"/>
  <c r="J100" i="12"/>
  <c r="K100" i="12" s="1"/>
  <c r="I90" i="12"/>
  <c r="S90" i="12" s="1"/>
  <c r="V100" i="12"/>
  <c r="I100" i="12" s="1"/>
  <c r="S100" i="12" s="1"/>
  <c r="I31" i="12"/>
  <c r="S31" i="12" s="1"/>
  <c r="I21" i="12"/>
  <c r="O31" i="12"/>
  <c r="Q31" i="12" s="1"/>
  <c r="O21" i="12"/>
  <c r="Q21" i="12" s="1"/>
  <c r="O37" i="12"/>
  <c r="I37" i="12" s="1"/>
  <c r="D5" i="14"/>
  <c r="D7" i="14"/>
  <c r="D12" i="14"/>
  <c r="D24" i="14"/>
  <c r="D25" i="14"/>
  <c r="R112" i="12"/>
  <c r="R127" i="12"/>
  <c r="R118" i="12"/>
  <c r="G10" i="12"/>
  <c r="R10" i="12" s="1"/>
  <c r="R9" i="12"/>
  <c r="S34" i="12"/>
  <c r="S27" i="12"/>
  <c r="S6" i="12"/>
  <c r="S2" i="12"/>
  <c r="I2" i="12" s="1"/>
  <c r="K55" i="12"/>
  <c r="R55" i="12"/>
  <c r="R41" i="12"/>
  <c r="Y20" i="26"/>
  <c r="Y19" i="26"/>
  <c r="Y18" i="26"/>
  <c r="Y17" i="26"/>
  <c r="Y16" i="26"/>
  <c r="Y15" i="26"/>
  <c r="Y14" i="26"/>
  <c r="W12" i="26"/>
  <c r="W11" i="26"/>
  <c r="W10" i="26"/>
  <c r="W9" i="26"/>
  <c r="W8" i="26"/>
  <c r="W7" i="26"/>
  <c r="W6" i="26"/>
  <c r="W5" i="26"/>
  <c r="W4" i="26"/>
  <c r="W3" i="26"/>
  <c r="W2" i="26"/>
  <c r="S207" i="12"/>
  <c r="R373" i="12"/>
  <c r="R372" i="12"/>
  <c r="Q364" i="12"/>
  <c r="S364" i="12" s="1"/>
  <c r="Q362" i="12"/>
  <c r="S362" i="12" s="1"/>
  <c r="Q361" i="12"/>
  <c r="S361" i="12" s="1"/>
  <c r="Q360" i="12"/>
  <c r="S360" i="12" s="1"/>
  <c r="N375" i="12"/>
  <c r="N357" i="12"/>
  <c r="R40" i="12"/>
  <c r="S358" i="12"/>
  <c r="R363" i="12"/>
  <c r="R362" i="12"/>
  <c r="R360" i="12"/>
  <c r="R361" i="12"/>
  <c r="S210" i="12"/>
  <c r="S219" i="12"/>
  <c r="S215" i="12"/>
  <c r="S217" i="12"/>
  <c r="S218" i="12"/>
  <c r="S211" i="12"/>
  <c r="S209" i="12"/>
  <c r="S212" i="12"/>
  <c r="N355" i="12"/>
  <c r="K355" i="12"/>
  <c r="S220" i="12"/>
  <c r="S214" i="12"/>
  <c r="R214" i="12"/>
  <c r="R207" i="12"/>
  <c r="I91" i="12"/>
  <c r="W139" i="12"/>
  <c r="K139" i="12" s="1"/>
  <c r="W138" i="12"/>
  <c r="K138" i="12" s="1"/>
  <c r="W137" i="12"/>
  <c r="K137" i="12" s="1"/>
  <c r="S73" i="12"/>
  <c r="R108" i="12"/>
  <c r="K108" i="12"/>
  <c r="H125" i="12"/>
  <c r="G125" i="12" s="1"/>
  <c r="R125" i="12" s="1"/>
  <c r="H122" i="12"/>
  <c r="G122" i="12" s="1"/>
  <c r="R122" i="12" s="1"/>
  <c r="S87" i="12"/>
  <c r="R87" i="12"/>
  <c r="K87" i="12"/>
  <c r="H111" i="12"/>
  <c r="G111" i="12" s="1"/>
  <c r="R111" i="12" s="1"/>
  <c r="H110" i="12"/>
  <c r="G110" i="12" s="1"/>
  <c r="R110" i="12" s="1"/>
  <c r="K61" i="12"/>
  <c r="S28" i="12"/>
  <c r="I28" i="12" s="1"/>
  <c r="K62" i="12"/>
  <c r="S17" i="12"/>
  <c r="S22" i="12"/>
  <c r="H49" i="12"/>
  <c r="G49" i="12" s="1"/>
  <c r="R49" i="12" s="1"/>
  <c r="H44" i="12"/>
  <c r="G44" i="12" s="1"/>
  <c r="R44" i="12" s="1"/>
  <c r="H39" i="12"/>
  <c r="G39" i="12" s="1"/>
  <c r="R39" i="12" s="1"/>
  <c r="G12" i="12"/>
  <c r="R12" i="12" s="1"/>
  <c r="G11" i="12"/>
  <c r="R11" i="12" s="1"/>
  <c r="G6" i="12"/>
  <c r="R6" i="12" s="1"/>
  <c r="S4" i="12"/>
  <c r="G4" i="12"/>
  <c r="R4" i="12" s="1"/>
  <c r="R7" i="12"/>
  <c r="H7" i="12"/>
  <c r="I7" i="12"/>
  <c r="G2" i="12"/>
  <c r="R2" i="12" s="1"/>
  <c r="AA12" i="4"/>
  <c r="AA4" i="4"/>
  <c r="AA17" i="4"/>
  <c r="AA16" i="4"/>
  <c r="AA15" i="4"/>
  <c r="AA14" i="4"/>
  <c r="AA13" i="4"/>
  <c r="AA11" i="4"/>
  <c r="AA10" i="4"/>
  <c r="AA5" i="4"/>
  <c r="AA6" i="4"/>
  <c r="AA7" i="4"/>
  <c r="AA8" i="4"/>
  <c r="AA9" i="4"/>
  <c r="I15" i="4"/>
  <c r="I16" i="4"/>
  <c r="X16" i="4" s="1"/>
  <c r="N15" i="4"/>
  <c r="N16" i="4" s="1"/>
  <c r="N17" i="4" s="1"/>
  <c r="X14" i="4"/>
  <c r="I5" i="4"/>
  <c r="N5" i="4"/>
  <c r="N6" i="4"/>
  <c r="N7" i="4"/>
  <c r="N8" i="4"/>
  <c r="N9" i="4"/>
  <c r="N10" i="4"/>
  <c r="N11" i="4"/>
  <c r="N12" i="4"/>
  <c r="M4" i="2"/>
  <c r="M5" i="2"/>
  <c r="J5" i="2"/>
  <c r="J8" i="2"/>
  <c r="M8" i="2"/>
  <c r="M11" i="2"/>
  <c r="J11" i="2"/>
  <c r="I6" i="4"/>
  <c r="X5" i="4"/>
  <c r="I7" i="4"/>
  <c r="X7" i="4" s="1"/>
  <c r="X6" i="4"/>
  <c r="X15" i="4"/>
  <c r="M9" i="14" l="1"/>
  <c r="N9" i="14" s="1"/>
  <c r="P9" i="14" s="1"/>
  <c r="X9" i="14" s="1"/>
  <c r="L5" i="14"/>
  <c r="M5" i="14" s="1"/>
  <c r="N5" i="14" s="1"/>
  <c r="P5" i="14" s="1"/>
  <c r="L25" i="14"/>
  <c r="K8" i="14" s="1"/>
  <c r="L24" i="14"/>
  <c r="M357" i="12"/>
  <c r="L357" i="12"/>
  <c r="M375" i="12"/>
  <c r="L375" i="12"/>
  <c r="S16" i="12"/>
  <c r="H17" i="31"/>
  <c r="AE17" i="31"/>
  <c r="AB30" i="31"/>
  <c r="AI30" i="31"/>
  <c r="AF41" i="31"/>
  <c r="AI41" i="31"/>
  <c r="AF42" i="31"/>
  <c r="AI42" i="31"/>
  <c r="AB32" i="31"/>
  <c r="H32" i="31" s="1"/>
  <c r="AI32" i="31"/>
  <c r="AB36" i="31"/>
  <c r="H36" i="31" s="1"/>
  <c r="AI36" i="31"/>
  <c r="S21" i="12"/>
  <c r="AA74" i="31"/>
  <c r="AK74" i="31"/>
  <c r="AK70" i="31"/>
  <c r="I17" i="4"/>
  <c r="X17" i="4" s="1"/>
  <c r="I8" i="4"/>
  <c r="L355" i="12"/>
  <c r="I73" i="12"/>
  <c r="I22" i="12"/>
  <c r="I17" i="12"/>
  <c r="I34" i="12"/>
  <c r="I208" i="12"/>
  <c r="I217" i="12"/>
  <c r="I215" i="12"/>
  <c r="I212" i="12"/>
  <c r="I218" i="12"/>
  <c r="I219" i="12"/>
  <c r="I209" i="12"/>
  <c r="I211" i="12"/>
  <c r="X26" i="14"/>
  <c r="I16" i="12"/>
  <c r="Q37" i="12"/>
  <c r="S37" i="12" s="1"/>
  <c r="H2" i="12"/>
  <c r="O8" i="14" l="1"/>
  <c r="L8" i="14"/>
  <c r="M8" i="14" s="1"/>
  <c r="N8" i="14" s="1"/>
  <c r="P8" i="14" s="1"/>
  <c r="X8" i="14" s="1"/>
  <c r="M25" i="14"/>
  <c r="P25" i="14" s="1"/>
  <c r="X25" i="14" s="1"/>
  <c r="M24" i="14"/>
  <c r="P24" i="14" s="1"/>
  <c r="X24" i="14" s="1"/>
  <c r="L7" i="14"/>
  <c r="X5" i="14"/>
  <c r="AE30" i="31"/>
  <c r="H30" i="31"/>
  <c r="AB74" i="31"/>
  <c r="AI74" i="31"/>
  <c r="I9" i="4"/>
  <c r="X8" i="4"/>
  <c r="M7" i="14" l="1"/>
  <c r="N7" i="14" s="1"/>
  <c r="P7" i="14" s="1"/>
  <c r="X7" i="14" s="1"/>
  <c r="X9" i="4"/>
  <c r="I10" i="4"/>
  <c r="X10" i="4" l="1"/>
  <c r="I11" i="4"/>
  <c r="X11" i="4" l="1"/>
  <c r="I12" i="4"/>
  <c r="K135" i="12"/>
</calcChain>
</file>

<file path=xl/sharedStrings.xml><?xml version="1.0" encoding="utf-8"?>
<sst xmlns="http://schemas.openxmlformats.org/spreadsheetml/2006/main" count="6800" uniqueCount="1576">
  <si>
    <t xml:space="preserve">Julia Reiss1*, Andrea Perna2, and Daniel Perkins1 </t>
  </si>
  <si>
    <t>2 IMT School for Advanced Studies Lucca, Piazza S. Francesco, 19 - 55100 Lucca, Italy</t>
  </si>
  <si>
    <t>* corresponding author Email: julia.reiss@brunel.ac.uk (JR)</t>
  </si>
  <si>
    <t>Katrin Layer data unpubl.</t>
  </si>
  <si>
    <t>Size group</t>
  </si>
  <si>
    <t>Size group name</t>
  </si>
  <si>
    <t>Group</t>
  </si>
  <si>
    <t>Example</t>
  </si>
  <si>
    <t>L (µm)</t>
  </si>
  <si>
    <t>V (µm3), i.e. V (fL)</t>
  </si>
  <si>
    <t>V (nl)</t>
  </si>
  <si>
    <t>FW (µg)</t>
  </si>
  <si>
    <t>DW (µg)</t>
  </si>
  <si>
    <t>µgC/ind.</t>
  </si>
  <si>
    <t>L (mm)</t>
  </si>
  <si>
    <t xml:space="preserve">FW (mg) </t>
  </si>
  <si>
    <t>DW (mg) min</t>
  </si>
  <si>
    <t>FW(g)</t>
  </si>
  <si>
    <t>DW (g)</t>
  </si>
  <si>
    <t>L (m)</t>
  </si>
  <si>
    <t>gC/ind.</t>
  </si>
  <si>
    <t>Reference</t>
  </si>
  <si>
    <t>raw data as given by authors</t>
  </si>
  <si>
    <t>Viruses</t>
  </si>
  <si>
    <t>Wilhelm and Suttle 1999</t>
  </si>
  <si>
    <t>0.2 fgC</t>
  </si>
  <si>
    <t>marine virus</t>
  </si>
  <si>
    <t>Steward et al. 2007</t>
  </si>
  <si>
    <t>0.055fgC</t>
  </si>
  <si>
    <t>virus small</t>
  </si>
  <si>
    <t>Modrow et al. 2013</t>
  </si>
  <si>
    <t>16 nm</t>
  </si>
  <si>
    <t>Sevvana et al. 2021</t>
  </si>
  <si>
    <t>Angstrom</t>
  </si>
  <si>
    <t>Bacteriophage typical</t>
  </si>
  <si>
    <t xml:space="preserve">Bar-On et al. 2018 </t>
  </si>
  <si>
    <t>≈0.02 fg C, 50nm length</t>
  </si>
  <si>
    <t>SARS-CoV-2 virus</t>
  </si>
  <si>
    <t>Bar-On et al. 2020</t>
  </si>
  <si>
    <t>1fg, 100nm in diamtre</t>
  </si>
  <si>
    <t>Bacteriophage Lambda</t>
  </si>
  <si>
    <t>Hohn &amp; Katsura 1977</t>
  </si>
  <si>
    <t>Bacteriophage T2</t>
  </si>
  <si>
    <t>Matthews 1975</t>
  </si>
  <si>
    <t>325 x 106 dalton; 34.6 × 104nm3</t>
  </si>
  <si>
    <t>virus large</t>
  </si>
  <si>
    <t>300 nm</t>
  </si>
  <si>
    <t>Mimivirus that infects protozoa</t>
  </si>
  <si>
    <t>Dimmock et al. 2015</t>
  </si>
  <si>
    <t>Ilic et al. 2004</t>
  </si>
  <si>
    <t>1 fg</t>
  </si>
  <si>
    <t>Bacteriophage</t>
  </si>
  <si>
    <t>Day and Mindich 1980</t>
  </si>
  <si>
    <t>Bacteria</t>
  </si>
  <si>
    <t>Bacteria - heterotroph</t>
  </si>
  <si>
    <t>SAR11 marine clade</t>
  </si>
  <si>
    <t>cm</t>
  </si>
  <si>
    <t>Hatton et al. 2021</t>
  </si>
  <si>
    <t xml:space="preserve">smallest cell 0.15 μm </t>
  </si>
  <si>
    <t>Bacteria - general</t>
  </si>
  <si>
    <t>Aquatic bacterium</t>
  </si>
  <si>
    <t>~0.72</t>
  </si>
  <si>
    <t>na</t>
  </si>
  <si>
    <t>Findlay et al. 2002</t>
  </si>
  <si>
    <t>0.2μm3</t>
  </si>
  <si>
    <t>small</t>
  </si>
  <si>
    <t>Schulz &amp; Jørgensen 2001</t>
  </si>
  <si>
    <t>0.2 microm</t>
  </si>
  <si>
    <t>Bacteria - autotroph</t>
  </si>
  <si>
    <t xml:space="preserve">Prochlorococcus sp. </t>
  </si>
  <si>
    <t xml:space="preserve">Chroococcus sp. </t>
  </si>
  <si>
    <t>Achromatium oxaliferum, the largest free living single-celled prokaryotes</t>
  </si>
  <si>
    <t>E. coli</t>
  </si>
  <si>
    <t>≈150 fg C</t>
  </si>
  <si>
    <t>Fagerbakke, Heldal and Norland 1996 </t>
  </si>
  <si>
    <t>Ilic et al. 2001</t>
  </si>
  <si>
    <t>E.coli from 2 lakes - small</t>
  </si>
  <si>
    <t>Loferer-Krossbacher et al. 1998</t>
  </si>
  <si>
    <t>DW of E. coli cells ranged from 3 to 1,172 fg; carbon is 50% of DW</t>
  </si>
  <si>
    <t>DW of E. coli cells ranged from 83 to 1,172 fg</t>
  </si>
  <si>
    <t>Groundwater bacteria large</t>
  </si>
  <si>
    <t>Marxen 1988</t>
  </si>
  <si>
    <t>Average benthic, marine prokaryote</t>
  </si>
  <si>
    <t>11 fgC/cell</t>
  </si>
  <si>
    <t>Simon and Azam 1989</t>
  </si>
  <si>
    <t>fg protein</t>
  </si>
  <si>
    <t>Constant biomass model for bacteria</t>
  </si>
  <si>
    <t>Lee and Fuhrman 1987</t>
  </si>
  <si>
    <t>Groundwater bacteria small</t>
  </si>
  <si>
    <t>V in microm3</t>
  </si>
  <si>
    <t>Aquatic prokaryote small</t>
  </si>
  <si>
    <t>Whitman et al. 1998</t>
  </si>
  <si>
    <t>Aquatic prokaryotes large</t>
  </si>
  <si>
    <t>Average benthic prokaryotes</t>
  </si>
  <si>
    <t>Average planktonic prokayote</t>
  </si>
  <si>
    <t>large</t>
  </si>
  <si>
    <t>Protists</t>
  </si>
  <si>
    <t>marine diatoms small</t>
  </si>
  <si>
    <t>Menden-Deuer and Lessard 2000</t>
  </si>
  <si>
    <t>picograms</t>
  </si>
  <si>
    <t>dinoflagellates small</t>
  </si>
  <si>
    <t>marine diatoms large</t>
  </si>
  <si>
    <t>dinoflagellates large</t>
  </si>
  <si>
    <t>smallest phototrophic protists</t>
  </si>
  <si>
    <t>Hartmann et al. 2011</t>
  </si>
  <si>
    <t>under 2 microm</t>
  </si>
  <si>
    <t xml:space="preserve">Ostreococcus tauri </t>
  </si>
  <si>
    <t>Picophytoplankton</t>
  </si>
  <si>
    <t>Ciliate small</t>
  </si>
  <si>
    <t>unpublished data used in Reiss &amp; Schmid-Araya 2010</t>
  </si>
  <si>
    <t>Fragilidium cf. mexicanum</t>
  </si>
  <si>
    <t>Neocalyptrella robusta</t>
  </si>
  <si>
    <t>Cyclidium glaucoma</t>
  </si>
  <si>
    <t>Finlay 1977</t>
  </si>
  <si>
    <t>Spirostomum teres</t>
  </si>
  <si>
    <t>Prescott 1955</t>
  </si>
  <si>
    <t>Protists - general</t>
  </si>
  <si>
    <t>Marine protists</t>
  </si>
  <si>
    <t xml:space="preserve">≈0.8×10-12 g C cell-1 </t>
  </si>
  <si>
    <t>Tabularia fasciculata</t>
  </si>
  <si>
    <t>Hillebrand et al. 1999</t>
  </si>
  <si>
    <t>Melosira moniliformis</t>
  </si>
  <si>
    <t>heterotrophic nanoflagellates</t>
  </si>
  <si>
    <t>15microm</t>
  </si>
  <si>
    <t>Sprirostomum spp.</t>
  </si>
  <si>
    <t>2mm</t>
  </si>
  <si>
    <t>Micro-metazoan</t>
  </si>
  <si>
    <t>Micro-metazoans</t>
  </si>
  <si>
    <t>Nematode family Dorylaimidae</t>
  </si>
  <si>
    <t>most nematodes</t>
  </si>
  <si>
    <t>Andrassy 1956</t>
  </si>
  <si>
    <t>Mesozooplankton marine large</t>
  </si>
  <si>
    <t>≈4 μg C</t>
  </si>
  <si>
    <t>Nematoda</t>
  </si>
  <si>
    <t>≈0.05 μg C</t>
  </si>
  <si>
    <t>Copepoda small</t>
  </si>
  <si>
    <t>Copepoda large</t>
  </si>
  <si>
    <t>Oligochaetes, small</t>
  </si>
  <si>
    <t>Oligochaetes, large</t>
  </si>
  <si>
    <t>Chrironomids, small</t>
  </si>
  <si>
    <t>Chrironomids, large</t>
  </si>
  <si>
    <t>Copepod nauplii</t>
  </si>
  <si>
    <t>Gradinger 1999</t>
  </si>
  <si>
    <t>Rotatoria</t>
  </si>
  <si>
    <t>Macrofauna</t>
  </si>
  <si>
    <t xml:space="preserve">Asellus aquaticus small </t>
  </si>
  <si>
    <t>Reiss et al. 2011</t>
  </si>
  <si>
    <t>4-8 vs. 8–12 mm length for A. aquaticus and G. pulex; 9–14 vs. 14–19 Sericostoma</t>
  </si>
  <si>
    <t>Gammarus pulex small</t>
  </si>
  <si>
    <t>Sericostoma personatum small</t>
  </si>
  <si>
    <t>Asellus aquaticus large</t>
  </si>
  <si>
    <t>Gammarus pulex large</t>
  </si>
  <si>
    <t>Sericostoma personatum large</t>
  </si>
  <si>
    <t>Macrozooplankton</t>
  </si>
  <si>
    <t>Colombet et al. 2020</t>
  </si>
  <si>
    <t>definition for macrozooplankton 2-20cm</t>
  </si>
  <si>
    <t>Mesozooplankton</t>
  </si>
  <si>
    <t>Mesozooplankton 10-6 10</t>
  </si>
  <si>
    <t>Macrozooplankton 10-3 103</t>
  </si>
  <si>
    <t>Row Labels</t>
  </si>
  <si>
    <t>Min of gC/ind.</t>
  </si>
  <si>
    <t>Max of gC/ind.2</t>
  </si>
  <si>
    <t>(blank)</t>
  </si>
  <si>
    <t>Grand Total</t>
  </si>
  <si>
    <t>Units in writing</t>
  </si>
  <si>
    <t>Units decimals</t>
  </si>
  <si>
    <t>Units scientific</t>
  </si>
  <si>
    <t xml:space="preserve">Realm </t>
  </si>
  <si>
    <t>Units to demonstrate order of magnitude</t>
  </si>
  <si>
    <t>Number</t>
  </si>
  <si>
    <t>log10</t>
  </si>
  <si>
    <t>milligram</t>
  </si>
  <si>
    <t>=</t>
  </si>
  <si>
    <t xml:space="preserve">10−3 </t>
  </si>
  <si>
    <t>g</t>
  </si>
  <si>
    <t>from</t>
  </si>
  <si>
    <t>to</t>
  </si>
  <si>
    <t>microgram</t>
  </si>
  <si>
    <t xml:space="preserve">10−6 </t>
  </si>
  <si>
    <t>nanogram</t>
  </si>
  <si>
    <t xml:space="preserve">10−9 </t>
  </si>
  <si>
    <t>picogram</t>
  </si>
  <si>
    <t xml:space="preserve">10−12 </t>
  </si>
  <si>
    <t>femtogram</t>
  </si>
  <si>
    <t xml:space="preserve">10−15 </t>
  </si>
  <si>
    <t>attogram</t>
  </si>
  <si>
    <t xml:space="preserve">10−18 </t>
  </si>
  <si>
    <t>zeptogram</t>
  </si>
  <si>
    <t xml:space="preserve">10−21 </t>
  </si>
  <si>
    <t>yoctogram</t>
  </si>
  <si>
    <t>10−24</t>
  </si>
  <si>
    <t xml:space="preserve">10−24 </t>
  </si>
  <si>
    <t>10−21</t>
  </si>
  <si>
    <t>centimetre</t>
  </si>
  <si>
    <t>10−2</t>
  </si>
  <si>
    <t>m</t>
  </si>
  <si>
    <t>millimetre</t>
  </si>
  <si>
    <t>micrometre</t>
  </si>
  <si>
    <t>nanometre</t>
  </si>
  <si>
    <t>a) Length to volume</t>
  </si>
  <si>
    <t>b) Volume to weight</t>
  </si>
  <si>
    <t>Dalton to weight, particle number to weight</t>
  </si>
  <si>
    <t>Conversions of volumes</t>
  </si>
  <si>
    <t>cm3</t>
  </si>
  <si>
    <t>centimetre cubed</t>
  </si>
  <si>
    <t>ml</t>
  </si>
  <si>
    <t>millilitre</t>
  </si>
  <si>
    <t>L</t>
  </si>
  <si>
    <t>mL</t>
  </si>
  <si>
    <t>gram</t>
  </si>
  <si>
    <t>kg</t>
  </si>
  <si>
    <t>1 Dalton = 1.66054e-24g</t>
  </si>
  <si>
    <t>mm3</t>
  </si>
  <si>
    <t xml:space="preserve">millimetre cubed </t>
  </si>
  <si>
    <t>µL</t>
  </si>
  <si>
    <t>microlitre</t>
  </si>
  <si>
    <t>mg</t>
  </si>
  <si>
    <t>1 Dalton = 1.66054 yoctogram</t>
  </si>
  <si>
    <t>1 cubic nanometre = 10-18 cubic mm</t>
  </si>
  <si>
    <t>nL</t>
  </si>
  <si>
    <t>nanolitre</t>
  </si>
  <si>
    <t>µg</t>
  </si>
  <si>
    <r>
      <t xml:space="preserve">Virus 10E3 Megadalton (MD) </t>
    </r>
    <r>
      <rPr>
        <sz val="9"/>
        <color theme="1"/>
        <rFont val="Calibri Light"/>
        <family val="2"/>
      </rPr>
      <t xml:space="preserve"> ≈ </t>
    </r>
    <r>
      <rPr>
        <sz val="9"/>
        <color theme="1"/>
        <rFont val="Calibri Light"/>
        <family val="2"/>
        <scheme val="major"/>
      </rPr>
      <t>1 fg  (Bar-On et al. 2022)</t>
    </r>
  </si>
  <si>
    <t>1 cubic micrometre = 10-9 cubic mm</t>
  </si>
  <si>
    <t>pL</t>
  </si>
  <si>
    <t>picolitre</t>
  </si>
  <si>
    <t>ng</t>
  </si>
  <si>
    <r>
      <t xml:space="preserve">Virus 10E3 Dalton </t>
    </r>
    <r>
      <rPr>
        <sz val="9"/>
        <color theme="1"/>
        <rFont val="Calibri Light"/>
        <family val="2"/>
      </rPr>
      <t>≈</t>
    </r>
    <r>
      <rPr>
        <sz val="9"/>
        <color theme="1"/>
        <rFont val="Calibri Light"/>
        <family val="2"/>
        <scheme val="major"/>
      </rPr>
      <t xml:space="preserve"> 1 zg (Bar-On et al. 2022)</t>
    </r>
  </si>
  <si>
    <t xml:space="preserve">1 cubic mm = 10-9 cubic m </t>
  </si>
  <si>
    <t>µm3</t>
  </si>
  <si>
    <t>micrometre cubed</t>
  </si>
  <si>
    <t>fL</t>
  </si>
  <si>
    <t>femtolitre</t>
  </si>
  <si>
    <t>pg</t>
  </si>
  <si>
    <r>
      <t xml:space="preserve">Virus Dalton </t>
    </r>
    <r>
      <rPr>
        <sz val="9"/>
        <color theme="1"/>
        <rFont val="Calibri Light"/>
        <family val="2"/>
      </rPr>
      <t>≈</t>
    </r>
    <r>
      <rPr>
        <sz val="9"/>
        <color theme="1"/>
        <rFont val="Calibri Light"/>
        <family val="2"/>
        <scheme val="major"/>
      </rPr>
      <t xml:space="preserve"> 1 yg (Bar-On et al. 2022)</t>
    </r>
  </si>
  <si>
    <t>aL</t>
  </si>
  <si>
    <t>attolitre</t>
  </si>
  <si>
    <t>fg</t>
  </si>
  <si>
    <t>zL</t>
  </si>
  <si>
    <t>zeptolitre</t>
  </si>
  <si>
    <t>ag</t>
  </si>
  <si>
    <t>Avogadro's number* 6.022 × 10²³</t>
  </si>
  <si>
    <t>nm3</t>
  </si>
  <si>
    <t>nanometre cubed</t>
  </si>
  <si>
    <t>yL</t>
  </si>
  <si>
    <t>yoctolitre</t>
  </si>
  <si>
    <t>zg</t>
  </si>
  <si>
    <t>*number of units in one mole of any substance (defined as its molecular weight in grams)</t>
  </si>
  <si>
    <t>W (µm)</t>
  </si>
  <si>
    <t>d (µm)</t>
  </si>
  <si>
    <t>Volume fL (µm3)</t>
  </si>
  <si>
    <t>Volume nL and water weight in µg</t>
  </si>
  <si>
    <t>µg FW of organisms applying conversion factor a)</t>
  </si>
  <si>
    <t>µg DW of organism if DW is x% of FW; applying conversion factor b)</t>
  </si>
  <si>
    <t>µg CW of organism if CW is x% of DW; applying conversion factor c)</t>
  </si>
  <si>
    <t xml:space="preserve"> g CW of orgabism</t>
  </si>
  <si>
    <t>Volume (V) equation</t>
  </si>
  <si>
    <t>sphere</t>
  </si>
  <si>
    <t xml:space="preserve">1/2 cone </t>
  </si>
  <si>
    <t xml:space="preserve">cylinder </t>
  </si>
  <si>
    <t>prolate spheroid</t>
  </si>
  <si>
    <t>ellipsoid</t>
  </si>
  <si>
    <t>Sacca 2016, plankton, 2 dimensional shapes</t>
  </si>
  <si>
    <t>Ruttner-Kolisko 1977; rotifers, sphere, half cone, cylinder, ellipsoid</t>
  </si>
  <si>
    <t>Reiss and Schmid-Araya 2010, ciliates and meiofauna, sphere, half cone, cylinder, ellipsoid</t>
  </si>
  <si>
    <t>Pernice et al. 2015, heterotrophic pelagic marine protists prolate spheroid shapes</t>
  </si>
  <si>
    <t>Feller &amp; Warwick 1988 assume density to be 1.13</t>
  </si>
  <si>
    <t>Reiss and Schmid-Araya 2010 assume density of 1.1</t>
  </si>
  <si>
    <t>Reiss and Schmid-Araya 2010 assume 25% of DW</t>
  </si>
  <si>
    <t>Reiss and Schmid-Araya 2010 assume 40% of DW</t>
  </si>
  <si>
    <t>Gaedke 1992 assume 50% of DW for rotifers</t>
  </si>
  <si>
    <t>Fry 1990 conversion factor C fg = 319 * (cell vol., µm3): prokaryotes</t>
  </si>
  <si>
    <t>Worked example</t>
  </si>
  <si>
    <t>Methods-general</t>
  </si>
  <si>
    <t>Methods - organism shape assumed</t>
  </si>
  <si>
    <t>Single pass factor</t>
  </si>
  <si>
    <t>Example L in µm</t>
  </si>
  <si>
    <t>Example W  in µm</t>
  </si>
  <si>
    <t>Volume in µm3, i.e. fL</t>
  </si>
  <si>
    <t>Volume in nl</t>
  </si>
  <si>
    <t>Fresh weight in µg</t>
  </si>
  <si>
    <t>Dry weight in µg</t>
  </si>
  <si>
    <t>Carbon µg/ind.</t>
  </si>
  <si>
    <t>Carbon g/ind.</t>
  </si>
  <si>
    <t>a</t>
  </si>
  <si>
    <t>b</t>
  </si>
  <si>
    <t>enveloped viruses</t>
  </si>
  <si>
    <t>this publication</t>
  </si>
  <si>
    <t>no shape specified</t>
  </si>
  <si>
    <t>enveloped virus SARS-Cov</t>
  </si>
  <si>
    <t>Multiply the total number of atoms by the molecular weight of carbon and divide by Avogadro's number</t>
  </si>
  <si>
    <t>Overestimation with exaggerated shape made out of carbon</t>
  </si>
  <si>
    <t>Prokaryotes</t>
  </si>
  <si>
    <t>Bacterium with prolate spheroid shape</t>
  </si>
  <si>
    <t>different shapes</t>
  </si>
  <si>
    <t>Bacteria, size classes of 0.4, 0.6 and 0.8 µm spheres</t>
  </si>
  <si>
    <t>Fuhrman and Azam 1980</t>
  </si>
  <si>
    <t>Marxen 2006</t>
  </si>
  <si>
    <t>Fry 1990</t>
  </si>
  <si>
    <t>Simon &amp; Azam 1989</t>
  </si>
  <si>
    <t>rod shaped cells are cylinders with a hemispherical cap, and cocci are spheres</t>
  </si>
  <si>
    <t>Bacteria, cocci and rods</t>
  </si>
  <si>
    <t>cylinders with hemispherical ends at each side</t>
  </si>
  <si>
    <t>Bratbak 1985</t>
  </si>
  <si>
    <t>cocci and rods</t>
  </si>
  <si>
    <t>Bratbak &amp; Dundas 1984</t>
  </si>
  <si>
    <t>perfect sphere</t>
  </si>
  <si>
    <t>Protist with prolate spheroid shape</t>
  </si>
  <si>
    <t>Reiss and Schmid-Araya 2010</t>
  </si>
  <si>
    <t>Dinoflagellates, marine</t>
  </si>
  <si>
    <t>Menden-Deuer &amp; Lessard 2000</t>
  </si>
  <si>
    <t>Diatoms, marine</t>
  </si>
  <si>
    <t>Protists - planktonic heterotrophic protists marine</t>
  </si>
  <si>
    <t>Pernice et al. 2016 and Menden-Deuer &amp; Lessard 2000</t>
  </si>
  <si>
    <t>Putt &amp; Stoecker 1989</t>
  </si>
  <si>
    <t>Gates et al. 1982</t>
  </si>
  <si>
    <t>DW is 59% of WW</t>
  </si>
  <si>
    <t>Fenchel 1967</t>
  </si>
  <si>
    <t>L in µm, WW in g, ρ=1, length-weight regressions for 14 species</t>
  </si>
  <si>
    <t>Testate amoebae and ciliates in freshwater (river and moss)</t>
  </si>
  <si>
    <t>ρ=1</t>
  </si>
  <si>
    <t>ellipsoid or cylinder</t>
  </si>
  <si>
    <t>Micro-metazoan with prolate spheroid shape</t>
  </si>
  <si>
    <t>Acari</t>
  </si>
  <si>
    <t>Feller &amp; Warwick 1988</t>
  </si>
  <si>
    <t>Annelida - Oligochaeta</t>
  </si>
  <si>
    <t>Crustacea - pyriform Cyclopoids</t>
  </si>
  <si>
    <t>Crustacea - copepods -Calanoids</t>
  </si>
  <si>
    <t>Chisholm &amp; Roff 1990</t>
  </si>
  <si>
    <t>L in µm of prosome; DW in µg; lnDW (µg)=2.74lnL(µm)-16.41</t>
  </si>
  <si>
    <t>Crustacea - copepods -Cyclopoids</t>
  </si>
  <si>
    <t>L in µm of prosome; DW in µg; lnDW (µg)=1.96lnL(µm)-11.64</t>
  </si>
  <si>
    <t>Crustacea - Ostracoda</t>
  </si>
  <si>
    <t>Copepoda- Cylopoida, excluding females with eggs</t>
  </si>
  <si>
    <t>Dumont et al. 1975</t>
  </si>
  <si>
    <t>Copepoda- Harpacticoida</t>
  </si>
  <si>
    <t>Copepoda-copepodites</t>
  </si>
  <si>
    <t>Oligochaeta</t>
  </si>
  <si>
    <t>Ostracoda</t>
  </si>
  <si>
    <t>Rotifera</t>
  </si>
  <si>
    <t>Ruttner-Kolisko 1977</t>
  </si>
  <si>
    <t>sphere, half cone, cylinder or ellipsoid</t>
  </si>
  <si>
    <t>Tardigrada</t>
  </si>
  <si>
    <t>Turbellaria and gastrotricha</t>
  </si>
  <si>
    <t>Cylinder</t>
  </si>
  <si>
    <t xml:space="preserve">Macrofauna, Asellus aquaticus small </t>
  </si>
  <si>
    <t>Macrofauna, Gammarus pulex small</t>
  </si>
  <si>
    <t>Macrofauna, Sericostoma personatum small</t>
  </si>
  <si>
    <t>Chironomidae</t>
  </si>
  <si>
    <t>Balushkina, 1982</t>
  </si>
  <si>
    <t>Benke et al. 1999</t>
  </si>
  <si>
    <t>Cladocera</t>
  </si>
  <si>
    <t>Herzig, 1984</t>
  </si>
  <si>
    <t>Coleptera</t>
  </si>
  <si>
    <t>Burgherr and Meyer 1997</t>
  </si>
  <si>
    <t>Meyer 1989</t>
  </si>
  <si>
    <t>Towers et al. 1994</t>
  </si>
  <si>
    <t>Crustacea</t>
  </si>
  <si>
    <t>Baumgaertner &amp; Rothhaupt 2003</t>
  </si>
  <si>
    <t>Diptera</t>
  </si>
  <si>
    <t>Smock 1980</t>
  </si>
  <si>
    <t>Woodward 1999</t>
  </si>
  <si>
    <t>Ephemeroptera</t>
  </si>
  <si>
    <t>Finogenova, 1984</t>
  </si>
  <si>
    <t>Smit et al. 1993</t>
  </si>
  <si>
    <t>Plecoptera</t>
  </si>
  <si>
    <t>Edwards 2005</t>
  </si>
  <si>
    <t>Trichoptera</t>
  </si>
  <si>
    <t>Terminology and explanation</t>
  </si>
  <si>
    <t>Abbreviations</t>
  </si>
  <si>
    <t>L = length</t>
  </si>
  <si>
    <t>D = width</t>
  </si>
  <si>
    <t>V = volume</t>
  </si>
  <si>
    <t>FW = freshweight and wet weight (WW)</t>
  </si>
  <si>
    <t>DW = dryweight</t>
  </si>
  <si>
    <t>CW = carbon weight</t>
  </si>
  <si>
    <t>C = carbon</t>
  </si>
  <si>
    <t>Units</t>
  </si>
  <si>
    <t>Energy in watts: 1 Watt is equal to 1 joule per second</t>
  </si>
  <si>
    <t>Energy in joules: one joule corresponds to one kilogram-square metre per square second (1 J = 1 kg⋅m2⋅s−2).</t>
  </si>
  <si>
    <t>Terminology</t>
  </si>
  <si>
    <t>Avogadro's number: The number 6.022 × 10²³ is known as Avogadro's number or Avogadro's constant. The concept of the mole can be used to convert between mass and number of particles</t>
  </si>
  <si>
    <t>Biomass abundaunce *body weight</t>
  </si>
  <si>
    <t xml:space="preserve">Production (the turnover of biomass over time) </t>
  </si>
  <si>
    <t>Metabolic rate, the rate of energy transformation within an organism</t>
  </si>
  <si>
    <t>Kleiber’s law - metabolic rate of all organisms scales with body mass as an exponent of ~0.75</t>
  </si>
  <si>
    <t>Mesozooplankton are not only comprised of groups such as meroplanktonic larvae and copepods but also giant protists from the group Rhizaria (Hatton et al 2021)</t>
  </si>
  <si>
    <t>Molecular weight: The sum of the atomic masses of all atoms in a molecule, measured in dalton</t>
  </si>
  <si>
    <t>Data used to create figure 1</t>
  </si>
  <si>
    <t>group</t>
  </si>
  <si>
    <t>group no</t>
  </si>
  <si>
    <t>x value</t>
  </si>
  <si>
    <t>carbon weight in g</t>
  </si>
  <si>
    <t>length in m</t>
  </si>
  <si>
    <t>weight pre-fix</t>
  </si>
  <si>
    <t>length pre-fix</t>
  </si>
  <si>
    <t>viruses</t>
  </si>
  <si>
    <t>min</t>
  </si>
  <si>
    <t>max</t>
  </si>
  <si>
    <t>bacteria</t>
  </si>
  <si>
    <t>macrofauna</t>
  </si>
  <si>
    <t xml:space="preserve"> </t>
  </si>
  <si>
    <t>Phototrophic eukaryotes - Ostreococcus tauri</t>
  </si>
  <si>
    <t>data not used - factor of 10 out</t>
  </si>
  <si>
    <t>Heterotrophic eukaryotes - Cafeteria minuta</t>
  </si>
  <si>
    <t>Spirostomum ambiguum</t>
  </si>
  <si>
    <t>Fungi</t>
  </si>
  <si>
    <t>Soil fungi</t>
  </si>
  <si>
    <t>V≈100 μm; 15 pg C cell-1.</t>
  </si>
  <si>
    <t>Balanion planctonicum</t>
  </si>
  <si>
    <t>Stentor coruleus</t>
  </si>
  <si>
    <t>Daphnia magna</t>
  </si>
  <si>
    <t>Brachionus calyciflorus</t>
  </si>
  <si>
    <t>DeLong et al. 2010</t>
  </si>
  <si>
    <t>Gammarus pulex</t>
  </si>
  <si>
    <t>Bodo saltans (Pleuromonas jaculans)</t>
  </si>
  <si>
    <t>Chaos carolinensis</t>
  </si>
  <si>
    <t>Flagellates</t>
  </si>
  <si>
    <t>Pseudomonas putida</t>
  </si>
  <si>
    <t>Ciliates</t>
  </si>
  <si>
    <t xml:space="preserve">Spirostomum semivirescens </t>
  </si>
  <si>
    <t>Esteban et al. 2009</t>
  </si>
  <si>
    <t>Min of L (m)</t>
  </si>
  <si>
    <t>Bott &amp; Borchard 1999</t>
  </si>
  <si>
    <t>Finlay 2002</t>
  </si>
  <si>
    <t>averaged sized protozoan</t>
  </si>
  <si>
    <t>smallest protist</t>
  </si>
  <si>
    <t>largest protist</t>
  </si>
  <si>
    <t>From V in nL to µg C using one 'combined' factor; applying conversion factor d)</t>
  </si>
  <si>
    <t>Useful units for weight and length, including the realm of the measurement.</t>
  </si>
  <si>
    <t>Useful conversions when estimating body weight from body dimensions</t>
  </si>
  <si>
    <t>Step-by-step method to convert a geometric shape of an organism to its carbon weight using different shapes and assumptions about density, the fresh weight to dry weight ratio and the dry weight to carbon weight ratio. A few examples are given here that can be applied for viruses, prokaryotes and micro-eukaryotes.  L = length (longest part of the organism), r = radius, W = width, d = depth.  Factor (1) is density to estimate fresh weight from volume; factor (2) is the conversion factor to estimate dry weight from fresh weight; factor (3) is the conversion factor to estimate carbon content from dry weight and factor (4) is the one-pass factor from volume in nL to µgC. The factors will vary for microbes, e.g. viruses will have a higher carbon content per unit volume.</t>
  </si>
  <si>
    <t>Shape*</t>
  </si>
  <si>
    <t>*Shape and volume</t>
  </si>
  <si>
    <t>a) density (conversion factor) to estimate wetweight from volume **</t>
  </si>
  <si>
    <t>** fresh weight (FW) of organisms in µg if density is x</t>
  </si>
  <si>
    <t>b) conversion factor to estimate dry weight from fresh weight ***</t>
  </si>
  <si>
    <t>*** Drweight content</t>
  </si>
  <si>
    <t>c) conversion factor to estiamte carbon content from dry weight ****</t>
  </si>
  <si>
    <t>**** Carbon content</t>
  </si>
  <si>
    <t>***** From V to C using 'simple' conversion factors</t>
  </si>
  <si>
    <t xml:space="preserve">Gaedke 1992 conversion factor C µg= x * (cell vol. in nL): APP 0.19 ; Heterotrophic flagellates 0.22; Phytoplankton 0.11; Ciliates 0.11 </t>
  </si>
  <si>
    <t>Max of L (m)2</t>
  </si>
  <si>
    <t>dummy Y-axis</t>
  </si>
  <si>
    <t>Pivot table using data from tab 1</t>
  </si>
  <si>
    <t>Boenigk and Arndt 2002</t>
  </si>
  <si>
    <t>Foissner and Berger 1996</t>
  </si>
  <si>
    <t>Andersen et al. 2016</t>
  </si>
  <si>
    <t>Andersen, K. H., Berge, T., Gonçalves, R. J., Hartvig, M., Heuschele, J., Hylander, S., et al. (2016). Characteristic sizes of life in the oceans, from bacteria to whales. Ann Rev Mar Sci 8, 217–241.</t>
  </si>
  <si>
    <t>Andrassy, I. (1956). Die Rauminhalts- und Gewichtsbestimmung der Fadenwürmer (Nematoden). Acta Zoologica Hungarica 2, 1–5.</t>
  </si>
  <si>
    <t>Bar-On, Y. M., Flamholz, A., Phillips, R., and Milo, R. (2020). SARS-CoV-2 (COVID-19) by the numbers. Elife 9, e57309–e57309.</t>
  </si>
  <si>
    <t>Bar-On, Y. M., Phillips, R., and Milo, R. (2018). The biomass distribution on Earth. Proc Natl Acad Sci U S A 115, 6506–6511. doi: 10.1073/pnas.1711842115</t>
  </si>
  <si>
    <t>Boenigk, J., and Arndt, H. (2002). Bacterivory by heterotrophic flagellates: community structure and feeding strategies. Antonie Van Leeuwenhoek 81, 465–480.</t>
  </si>
  <si>
    <t>Bott, T. L., and Borchardt, M. A. (1999). Grazing of Protozoa, Bacteria, and Diatoms by Meiofauna in Lotic Epibenthic Communities. https://doi.org/10.2307/1468382 18, 499–513. doi: 10.2307/1468382</t>
  </si>
  <si>
    <t>Colombet, J., Fuster, M., Billard, H., and Sime-Ngando, T. (2020). Femtoplankton: What’s New? Viruses 12. doi: 10.3390/V12080881</t>
  </si>
  <si>
    <t>Day, L. A., and Mindich, L. (1980). The molecular weight of bacteriophage θ6 and its nucleocapsid. Virology 103, 376–385. doi: 10.1016/0042-6822(80)90196-8</t>
  </si>
  <si>
    <t>DeLong, J. P., Okie, J. G., Moses, M. E., Sibly, R. M., and Brown, J. H. (2010). Shifts in metabolic scaling, production, and efficiency across major evolutionary transitions of life. Proceedings of the National Academy of Sciences 107, 12941–12945.</t>
  </si>
  <si>
    <t>Dimmock, N. J., Easton, A. J., and Leppard, K. N. (2015). Introduction to modern virology. John Wiley &amp; Sons.</t>
  </si>
  <si>
    <t>Esteban, G. F., Bradley, M. W., and Finlay, B. J. (2009). A case-building Spirostomum (Ciliophora, Heterotrichida) with zoochlorellae. Eur J Protistol 45, 156–158. doi: 10.1016/J.EJOP.2009.01.002</t>
  </si>
  <si>
    <t>Fagerbakke, K. M., Heldal, M., and Norland, S. (1996). Content of carbon, nitrogen, oxygen, sulfur and phosphorus in native aquatic and cultured bacteria. Aquatic Microbial Ecology 10, 15–27.</t>
  </si>
  <si>
    <t>Findlay, S., Tank, J., Dye, S., Valett, H. M., Mulholland, P. J., McDowell, W. H., et al. (2002). A cross-system comparison of bacterial and fungal biomass in detritus pools of headwater streams. Microb Ecol, 55–66.</t>
  </si>
  <si>
    <t>Finlay, B. J. (1977). The dependence of reproductive rate on cell size and temperature in freshwater ciliated protozoa. Oecologia 30, 75–81.</t>
  </si>
  <si>
    <t>Finlay, B. J. (2002). Global dispersal of free-living microbial eukaryote species. Science (1979) 296, 1061–1063.</t>
  </si>
  <si>
    <t>Foissner, W., and Berger, H. (1996). A user‐friendly guide to the ciliates (Protozoa, Ciliophora) commonly used by hydrobiologists as bioindicators in rivers, lakes, and waste waters, with notes on their ecology. Freshw Biol 35, 375–482.</t>
  </si>
  <si>
    <t>Gradinger, R., Friedrich, C., and Spindler, M. (1999). Abundance, biomass and composition of the sea ice biota of the Greenland Sea pack ice. Deep Sea Research Part II: Topical Studies in Oceanography 46, 1457–1472.</t>
  </si>
  <si>
    <t>Hartmann, M., Grob, C., Scanlan, D. J., Martin, A. P., Burkill, P. H., and Zubkov, M. V (2011). Comparison of phosphate uptake rates by the smallest plastidic and aplastidic protists in the North Atlantic subtropical gyre. FEMS Microbiol Ecol 78, 327–335.</t>
  </si>
  <si>
    <t>Hatton, I. A., Heneghan, R. F., Bar-On, Y. M., and Galbraith, E. D. (2021). The global ocean size spectrum from bacteria to whales. Sci Adv 7, eabh3732–eabh3732.</t>
  </si>
  <si>
    <t>Hillebrand, H., Dürselen, C., Kirschtel, D., Pollingher, U., and Zohary, T. (1999). Biovolume calculation for pelagic and benthic microalgae. J Phycol 35, 403–424.</t>
  </si>
  <si>
    <t>Hohn, T., and Katsura, I. (1977). Structure and Assembly of Bacteriophage Lambda. Curr Top Microbiol Immunol 78, 69–110. doi: 10.1007/978-3-642-66800-5_3</t>
  </si>
  <si>
    <t>Ilic, B., Czaplewski, D., Zalalutdinov, M., Craighead, H. G., Neuzil, P., Campagnolo, C., et al. (2001). Single cell detection with micromechanical oscillators. Journal of Vacuum Science &amp; Technology B: Microelectronics and Nanometer Structures Processing, Measurement, and Phenomena 19, 2825–2828.</t>
  </si>
  <si>
    <t>Ilic, B., Yang, Y., and Craighead, H. G. (2004). Virus detection using nanoelectromechanical devices. Appl Phys Lett 85, 2604–2606.</t>
  </si>
  <si>
    <t>Lee, S., and Fuhrman, J. A. (1987). Relationships between biovolume and biomass of naturally derived marine bacterioplankton. Appl Environ Microbiol 53, 1298–1303.</t>
  </si>
  <si>
    <t>Loferer-Krossbacher, M., Klima, J., and Psenner, R. (1998). Determination of bacterial cell dry mass by transmission electron microscopy and densitometric image analysis. Appl Environ Microbiol 64, 688–694.</t>
  </si>
  <si>
    <t>Marxsen, J. (1988). Evaluation of the importance of bacteria in the carbon flow of a small open grassland stream, the Breitenbach. Arch Hydrobiol 111, 339–350.</t>
  </si>
  <si>
    <t>Matthews, R. E. F. (1975). A classification of virus groups based on the size of the particle in relation to genome size. Journal of General Virology 27, 135–149. doi: 10.1099/0022-1317-27-2-135/CITE/REFWORKS</t>
  </si>
  <si>
    <t>Menden-Deuer, S., and Lessard, E. J. (2000). Carbon to volume relationships for dinoflagellates, diatoms, and other protist plankton. Limnol Oceanogr 45, 569–579. doi: 10.4319/lo.2000.45.3.0569</t>
  </si>
  <si>
    <t>Modrow, S., Falke, D., Truyen, U., and Schätzl, H. (2013). Viruses: definition, structure, classification. Molecular Virology, 17.</t>
  </si>
  <si>
    <t>Prescott, D. M. (1955). Relations between cell growth and cell division: I. Reduced weight, cell volume, protein content, and nuclear volume of Amoeba proteus from division to division. Exp Cell Res 9, 328–337. doi: 10.1016/0014-4827(55)90106-3</t>
  </si>
  <si>
    <t>Reiss, J., Bailey, R. A., Perkins, D. M., Pluchinotta, A., and Woodward, G. (2011). Testing effects of consumer richness, evenness and body size on ecosystem functioning. Journal of Animal Ecology 80, 1145–1154. doi: 10.1111/j.1365-2656.2011.01857.x</t>
  </si>
  <si>
    <t>Reiss, J., and Schmid-Araya, J. M. (2010). Life history allometries and production of small fauna. Ecology 91, 497–507. doi: 10.1890/08-1248.1</t>
  </si>
  <si>
    <t>Schulz, H. N., and Jørgensen, B. B. (2001). Big bacteria. Annual Reviews in Microbiology 55, 105–137.</t>
  </si>
  <si>
    <t>Sevvana, M., Klose, T., and Rossmann, M. G. (2021). Principles of virus structure. Encyclopedia of virology, 257.</t>
  </si>
  <si>
    <t>Simon, M., and Azam, F. (1989). Protein content and protein synthesis rates of planktonic marine bacteria. Mar Ecol Prog Ser, 201–213.</t>
  </si>
  <si>
    <t>Steward, G. F., Fandino, L. B., Hollibaugh, J. T., Whitledge, T. E., and Azam, F. (2007). Microbial biomass and viral infections of heterotrophic prokaryotes in the sub-surface layer of the central Arctic Ocean. Deep Sea Research Part I: Oceanographic Research Papers 54, 1744–1757. doi: 10.1016/J.DSR.2007.04.019</t>
  </si>
  <si>
    <t>Whitman, W. B., Coleman, D. C., and Wiebe, W. J. (1998). Prokaryotes: the unseen majority. Proceedings of the National Academy of Sciences 95, 6578–6583.</t>
  </si>
  <si>
    <t>Wilhelm, S. W., and Suttle, C. A. (1999). Viruses and Nutrient Cycles in the Sea: Viruses play critical roles in the structure and function of aquatic food webs. Bioscience 49, 781–788. doi: 10.2307/1313569</t>
  </si>
  <si>
    <t>Tab 1:</t>
  </si>
  <si>
    <t xml:space="preserve">Tab 2: </t>
  </si>
  <si>
    <t xml:space="preserve">Tab 3: </t>
  </si>
  <si>
    <t xml:space="preserve">Tab 4: </t>
  </si>
  <si>
    <t>Tab 5:</t>
  </si>
  <si>
    <t xml:space="preserve">Tab 6: </t>
  </si>
  <si>
    <t>Tab 7:</t>
  </si>
  <si>
    <t>Tab 8:</t>
  </si>
  <si>
    <t>Tab 9:</t>
  </si>
  <si>
    <t>Bar-on et al. 2020</t>
  </si>
  <si>
    <t>Schoenborn 1977</t>
  </si>
  <si>
    <t>Glossary of terms and abbreviations</t>
  </si>
  <si>
    <t>Feller &amp; Warwick 1988 V (nl) = a*b²*factor depending on form and taxon</t>
  </si>
  <si>
    <t>Hillebrand et al. 1999, marine and freshwater microalgal genera; species specific, 21 possible geometric shapes from multiple dimensions</t>
  </si>
  <si>
    <t>head as a spherical shell; tail structure as a hollow cylinder</t>
  </si>
  <si>
    <t>Example for individual (or object) length in µm</t>
  </si>
  <si>
    <t>gC per example individual</t>
  </si>
  <si>
    <t>Constant biomass model, all bacteria weight the same</t>
  </si>
  <si>
    <t>L in mm; W in mm; V in nL; V(nL) = a*b²*399; ρ = 1.13; FW = V*ρ, DW is 25% of FW, CW is 40% of DW.</t>
  </si>
  <si>
    <t>L in mm; W in mm; V in nL; V(nL) = a*b²*530; ρ = 1.13; FW = V*ρ, DW is 25% of FW, CW is 40% of DW.</t>
  </si>
  <si>
    <t>L in mm; W in mm; V in nL; V(nL) = a*b²*400; ρ = 1.13; FW = V*ρ, DW is 25% of FW, CW is 40% of DW.</t>
  </si>
  <si>
    <t>L in mm; W in mm; V in nL; V(nL) = a*b²*450; ρ = 1.13; FW = V*ρ, DW is 25% of FW, CW is 40% of DW.</t>
  </si>
  <si>
    <t>L in mm; W in mm; V in nL; V(nL) = a*b²*614; ρ = 1.13; FW = V*ρ, DW is 25% of FW, CW is 40% of DW.</t>
  </si>
  <si>
    <t>L in mm; W in mm; V in nL; V(nL) = a*b²*550; ρ = 1.13; FW = V*ρ, DW is 25% of FW, CW is 40% of DW.</t>
  </si>
  <si>
    <r>
      <t>pgC/µm</t>
    </r>
    <r>
      <rPr>
        <vertAlign val="superscript"/>
        <sz val="6"/>
        <color theme="0"/>
        <rFont val="Arial"/>
        <family val="2"/>
      </rPr>
      <t>3</t>
    </r>
  </si>
  <si>
    <r>
      <t>L in µm; W in µm, V in µm</t>
    </r>
    <r>
      <rPr>
        <vertAlign val="superscript"/>
        <sz val="6"/>
        <color rgb="FF000000"/>
        <rFont val="Arial"/>
        <family val="2"/>
      </rPr>
      <t>3</t>
    </r>
    <r>
      <rPr>
        <sz val="6"/>
        <color rgb="FF000000"/>
        <rFont val="Arial"/>
        <family val="2"/>
      </rPr>
      <t xml:space="preserve"> , ρ = 1.1; FW = V*ρ, DW is 25% of FW, CW is 50% of DW.</t>
    </r>
  </si>
  <si>
    <r>
      <t>L in µm; W in µm, V in µm</t>
    </r>
    <r>
      <rPr>
        <vertAlign val="superscript"/>
        <sz val="6"/>
        <color rgb="FF000000"/>
        <rFont val="Arial"/>
        <family val="2"/>
      </rPr>
      <t>3</t>
    </r>
    <r>
      <rPr>
        <sz val="6"/>
        <color rgb="FF000000"/>
        <rFont val="Arial"/>
        <family val="2"/>
      </rPr>
      <t xml:space="preserve"> CW (g) = 1.21*10</t>
    </r>
    <r>
      <rPr>
        <vertAlign val="superscript"/>
        <sz val="6"/>
        <color rgb="FF000000"/>
        <rFont val="Arial"/>
        <family val="2"/>
      </rPr>
      <t>-13</t>
    </r>
    <r>
      <rPr>
        <sz val="6"/>
        <color rgb="FF000000"/>
        <rFont val="Arial"/>
        <family val="2"/>
      </rPr>
      <t>*V (µm</t>
    </r>
    <r>
      <rPr>
        <vertAlign val="superscript"/>
        <sz val="6"/>
        <color rgb="FF000000"/>
        <rFont val="Arial"/>
        <family val="2"/>
      </rPr>
      <t>3</t>
    </r>
    <r>
      <rPr>
        <sz val="6"/>
        <color rgb="FF000000"/>
        <rFont val="Arial"/>
        <family val="2"/>
      </rPr>
      <t>).</t>
    </r>
  </si>
  <si>
    <r>
      <t>L in µm; W in µm, V in µm</t>
    </r>
    <r>
      <rPr>
        <vertAlign val="superscript"/>
        <sz val="6"/>
        <color rgb="FF000000"/>
        <rFont val="Arial"/>
        <family val="2"/>
      </rPr>
      <t>3</t>
    </r>
    <r>
      <rPr>
        <sz val="6"/>
        <color rgb="FF000000"/>
        <rFont val="Arial"/>
        <family val="2"/>
      </rPr>
      <t>; CW (fg) = 100*V (µm</t>
    </r>
    <r>
      <rPr>
        <vertAlign val="superscript"/>
        <sz val="6"/>
        <color rgb="FF000000"/>
        <rFont val="Arial"/>
        <family val="2"/>
      </rPr>
      <t>3</t>
    </r>
    <r>
      <rPr>
        <sz val="6"/>
        <color rgb="FF000000"/>
        <rFont val="Arial"/>
        <family val="2"/>
      </rPr>
      <t>). Citing Findlay et al. (2002).</t>
    </r>
  </si>
  <si>
    <r>
      <t>L in µm; W in µm, V in µm</t>
    </r>
    <r>
      <rPr>
        <vertAlign val="superscript"/>
        <sz val="6"/>
        <color rgb="FF000000"/>
        <rFont val="Arial"/>
        <family val="2"/>
      </rPr>
      <t>3</t>
    </r>
    <r>
      <rPr>
        <sz val="6"/>
        <color rgb="FF000000"/>
        <rFont val="Arial"/>
        <family val="2"/>
      </rPr>
      <t>; CW (fg) = 310*V(µm</t>
    </r>
    <r>
      <rPr>
        <vertAlign val="superscript"/>
        <sz val="6"/>
        <color rgb="FF000000"/>
        <rFont val="Arial"/>
        <family val="2"/>
      </rPr>
      <t>3</t>
    </r>
    <r>
      <rPr>
        <sz val="6"/>
        <color rgb="FF000000"/>
        <rFont val="Arial"/>
        <family val="2"/>
      </rPr>
      <t xml:space="preserve">). </t>
    </r>
  </si>
  <si>
    <r>
      <t>L in µm; W in µm, V in µm3; protein content (fg) =88.6*V(µm</t>
    </r>
    <r>
      <rPr>
        <vertAlign val="superscript"/>
        <sz val="6"/>
        <color rgb="FF000000"/>
        <rFont val="Arial"/>
        <family val="2"/>
      </rPr>
      <t>3</t>
    </r>
    <r>
      <rPr>
        <sz val="6"/>
        <color rgb="FF000000"/>
        <rFont val="Arial"/>
        <family val="2"/>
      </rPr>
      <t>)</t>
    </r>
    <r>
      <rPr>
        <vertAlign val="superscript"/>
        <sz val="6"/>
        <color rgb="FF000000"/>
        <rFont val="Arial"/>
        <family val="2"/>
      </rPr>
      <t>0.59</t>
    </r>
    <r>
      <rPr>
        <sz val="6"/>
        <color rgb="FF000000"/>
        <rFont val="Arial"/>
        <family val="2"/>
      </rPr>
      <t>. CW is 54% of protein content.</t>
    </r>
  </si>
  <si>
    <r>
      <t>L in µm; W in µm, V in µm</t>
    </r>
    <r>
      <rPr>
        <vertAlign val="superscript"/>
        <sz val="6"/>
        <color rgb="FF000000"/>
        <rFont val="Arial"/>
        <family val="2"/>
      </rPr>
      <t>3</t>
    </r>
    <r>
      <rPr>
        <sz val="6"/>
        <color rgb="FF000000"/>
        <rFont val="Arial"/>
        <family val="2"/>
      </rPr>
      <t>; DW (fg) =435*V(µm</t>
    </r>
    <r>
      <rPr>
        <vertAlign val="superscript"/>
        <sz val="6"/>
        <color rgb="FF000000"/>
        <rFont val="Arial"/>
        <family val="2"/>
      </rPr>
      <t>3</t>
    </r>
    <r>
      <rPr>
        <sz val="6"/>
        <color rgb="FF000000"/>
        <rFont val="Arial"/>
        <family val="2"/>
      </rPr>
      <t>)</t>
    </r>
    <r>
      <rPr>
        <vertAlign val="superscript"/>
        <sz val="6"/>
        <color rgb="FF000000"/>
        <rFont val="Arial"/>
        <family val="2"/>
      </rPr>
      <t>0.86</t>
    </r>
    <r>
      <rPr>
        <sz val="6"/>
        <color rgb="FF000000"/>
        <rFont val="Arial"/>
        <family val="2"/>
      </rPr>
      <t>. CW is 50% of DW.</t>
    </r>
  </si>
  <si>
    <r>
      <t>L in µm; W in µm, V in µm</t>
    </r>
    <r>
      <rPr>
        <vertAlign val="superscript"/>
        <sz val="6"/>
        <color rgb="FF000000"/>
        <rFont val="Arial"/>
        <family val="2"/>
      </rPr>
      <t>3</t>
    </r>
    <r>
      <rPr>
        <sz val="6"/>
        <color rgb="FF000000"/>
        <rFont val="Arial"/>
        <family val="2"/>
      </rPr>
      <t>; CW (g) = 5.6*10</t>
    </r>
    <r>
      <rPr>
        <vertAlign val="superscript"/>
        <sz val="6"/>
        <color rgb="FF000000"/>
        <rFont val="Arial"/>
        <family val="2"/>
      </rPr>
      <t>-13</t>
    </r>
    <r>
      <rPr>
        <sz val="6"/>
        <color rgb="FF000000"/>
        <rFont val="Arial"/>
        <family val="2"/>
      </rPr>
      <t>*V(µm</t>
    </r>
    <r>
      <rPr>
        <vertAlign val="superscript"/>
        <sz val="6"/>
        <color rgb="FF000000"/>
        <rFont val="Arial"/>
        <family val="2"/>
      </rPr>
      <t>3</t>
    </r>
    <r>
      <rPr>
        <sz val="6"/>
        <color rgb="FF000000"/>
        <rFont val="Arial"/>
        <family val="2"/>
      </rPr>
      <t>).</t>
    </r>
  </si>
  <si>
    <r>
      <t>L in µm; W in µm, V in cm</t>
    </r>
    <r>
      <rPr>
        <vertAlign val="superscript"/>
        <sz val="6"/>
        <color rgb="FF000000"/>
        <rFont val="Arial"/>
        <family val="2"/>
      </rPr>
      <t>3</t>
    </r>
    <r>
      <rPr>
        <sz val="6"/>
        <color rgb="FF000000"/>
        <rFont val="Arial"/>
        <family val="2"/>
      </rPr>
      <t>; CW (g) = 0.22*V(cm</t>
    </r>
    <r>
      <rPr>
        <vertAlign val="superscript"/>
        <sz val="6"/>
        <color rgb="FF000000"/>
        <rFont val="Arial"/>
        <family val="2"/>
      </rPr>
      <t>3</t>
    </r>
    <r>
      <rPr>
        <sz val="6"/>
        <color rgb="FF000000"/>
        <rFont val="Arial"/>
        <family val="2"/>
      </rPr>
      <t>).</t>
    </r>
  </si>
  <si>
    <r>
      <t>L in µm; W in µm, V in µm</t>
    </r>
    <r>
      <rPr>
        <vertAlign val="superscript"/>
        <sz val="6"/>
        <color rgb="FF000000"/>
        <rFont val="Arial"/>
        <family val="2"/>
      </rPr>
      <t>3</t>
    </r>
    <r>
      <rPr>
        <sz val="6"/>
        <color rgb="FF000000"/>
        <rFont val="Arial"/>
        <family val="2"/>
      </rPr>
      <t>; ρ = 1.1; FW = V*ρ, DW is 25% of FW, CW is 40% of DW.</t>
    </r>
  </si>
  <si>
    <r>
      <t>L in µm; W in µm, V in µm</t>
    </r>
    <r>
      <rPr>
        <vertAlign val="superscript"/>
        <sz val="6"/>
        <color rgb="FF000000"/>
        <rFont val="Arial"/>
        <family val="2"/>
      </rPr>
      <t>3</t>
    </r>
    <r>
      <rPr>
        <sz val="6"/>
        <color rgb="FF000000"/>
        <rFont val="Arial"/>
        <family val="2"/>
      </rPr>
      <t>; CW (pg) = 0.76*V(µm</t>
    </r>
    <r>
      <rPr>
        <vertAlign val="superscript"/>
        <sz val="6"/>
        <color rgb="FF000000"/>
        <rFont val="Arial"/>
        <family val="2"/>
      </rPr>
      <t>3</t>
    </r>
    <r>
      <rPr>
        <sz val="6"/>
        <color rgb="FF000000"/>
        <rFont val="Arial"/>
        <family val="2"/>
      </rPr>
      <t>)</t>
    </r>
    <r>
      <rPr>
        <vertAlign val="superscript"/>
        <sz val="6"/>
        <color rgb="FF000000"/>
        <rFont val="Arial"/>
        <family val="2"/>
      </rPr>
      <t>0.82</t>
    </r>
  </si>
  <si>
    <r>
      <t>L in µm; W in µm, V in µm</t>
    </r>
    <r>
      <rPr>
        <vertAlign val="superscript"/>
        <sz val="6"/>
        <color rgb="FF000000"/>
        <rFont val="Arial"/>
        <family val="2"/>
      </rPr>
      <t>3</t>
    </r>
    <r>
      <rPr>
        <sz val="6"/>
        <color rgb="FF000000"/>
        <rFont val="Arial"/>
        <family val="2"/>
      </rPr>
      <t>; CW(pg)= 0.288*V(µm</t>
    </r>
    <r>
      <rPr>
        <vertAlign val="superscript"/>
        <sz val="6"/>
        <color rgb="FF000000"/>
        <rFont val="Arial"/>
        <family val="2"/>
      </rPr>
      <t>3</t>
    </r>
    <r>
      <rPr>
        <sz val="6"/>
        <color rgb="FF000000"/>
        <rFont val="Arial"/>
        <family val="2"/>
      </rPr>
      <t>)</t>
    </r>
    <r>
      <rPr>
        <vertAlign val="superscript"/>
        <sz val="6"/>
        <color rgb="FF000000"/>
        <rFont val="Arial"/>
        <family val="2"/>
      </rPr>
      <t>0.811</t>
    </r>
  </si>
  <si>
    <r>
      <t>L in µm; W in µm, V in µm</t>
    </r>
    <r>
      <rPr>
        <vertAlign val="superscript"/>
        <sz val="6"/>
        <color rgb="FF000000"/>
        <rFont val="Arial"/>
        <family val="2"/>
      </rPr>
      <t>3</t>
    </r>
    <r>
      <rPr>
        <sz val="6"/>
        <color rgb="FF000000"/>
        <rFont val="Arial"/>
        <family val="2"/>
      </rPr>
      <t>; CW (pg) = 0.19*V(µm</t>
    </r>
    <r>
      <rPr>
        <vertAlign val="superscript"/>
        <sz val="6"/>
        <color rgb="FF000000"/>
        <rFont val="Arial"/>
        <family val="2"/>
      </rPr>
      <t>3</t>
    </r>
    <r>
      <rPr>
        <sz val="6"/>
        <color rgb="FF000000"/>
        <rFont val="Arial"/>
        <family val="2"/>
      </rPr>
      <t>) for cells preserved in Lugol.</t>
    </r>
  </si>
  <si>
    <r>
      <t>L in µm; DW(µg)=1.1*10</t>
    </r>
    <r>
      <rPr>
        <vertAlign val="superscript"/>
        <sz val="6"/>
        <color rgb="FF000000"/>
        <rFont val="Arial"/>
        <family val="2"/>
      </rPr>
      <t>-7</t>
    </r>
    <r>
      <rPr>
        <sz val="6"/>
        <color rgb="FF000000"/>
        <rFont val="Arial"/>
        <family val="2"/>
      </rPr>
      <t>*L(µm)2.59</t>
    </r>
  </si>
  <si>
    <r>
      <t>L in mm; DW(µg)=12.51*L(mm)</t>
    </r>
    <r>
      <rPr>
        <vertAlign val="superscript"/>
        <sz val="6"/>
        <color rgb="FF000000"/>
        <rFont val="Arial"/>
        <family val="2"/>
      </rPr>
      <t>4.4</t>
    </r>
  </si>
  <si>
    <r>
      <t>L in µm; DW(µg)=1.1*10-5*L(µm)</t>
    </r>
    <r>
      <rPr>
        <vertAlign val="superscript"/>
        <sz val="6"/>
        <color rgb="FF000000"/>
        <rFont val="Arial"/>
        <family val="2"/>
      </rPr>
      <t>1.89</t>
    </r>
  </si>
  <si>
    <t>c</t>
  </si>
  <si>
    <r>
      <t>L in µm; W in µm, V in µm</t>
    </r>
    <r>
      <rPr>
        <vertAlign val="superscript"/>
        <sz val="6"/>
        <color rgb="FF000000"/>
        <rFont val="Arial"/>
        <family val="2"/>
      </rPr>
      <t>3</t>
    </r>
    <r>
      <rPr>
        <sz val="6"/>
        <color rgb="FF000000"/>
        <rFont val="Arial"/>
        <family val="2"/>
      </rPr>
      <t>; ρ =1.1; FW = V*d, DW is 22% of FW, CW is 50% of DW.</t>
    </r>
  </si>
  <si>
    <t>Conversion factors</t>
  </si>
  <si>
    <t>Jover et al. 2014 equations</t>
  </si>
  <si>
    <t>prolate spheroid where W is 2/3 of L</t>
  </si>
  <si>
    <r>
      <t>bacteria weigh 2*10</t>
    </r>
    <r>
      <rPr>
        <vertAlign val="superscript"/>
        <sz val="6"/>
        <color rgb="FF000000"/>
        <rFont val="Arial"/>
        <family val="2"/>
      </rPr>
      <t>-14</t>
    </r>
    <r>
      <rPr>
        <sz val="6"/>
        <color rgb="FF000000"/>
        <rFont val="Arial"/>
        <family val="2"/>
      </rPr>
      <t xml:space="preserve"> gC / cell</t>
    </r>
  </si>
  <si>
    <t>Fry, J. C. (1990). 2 Direct Methods and Biomass Estimation. Methods in Microbiology, 22(C), 41–85. https://doi.org/10.1016/S0580-9517(08)70239-3</t>
  </si>
  <si>
    <t>additional calculations 1</t>
  </si>
  <si>
    <t>additional calculations 2</t>
  </si>
  <si>
    <t>Unit conversion</t>
  </si>
  <si>
    <t>prolate spheroid where W is 1/3 of L</t>
  </si>
  <si>
    <t>Romanova, N. D., &amp; Sazhin, A. F. (2010). Relationships between the cell volume and the carbon content of bacteria. Oceanology, 50(4), 522–530. https://doi.org/10.1134/S0001437010040089/METRICS</t>
  </si>
  <si>
    <r>
      <t>L in µm; W in µm, V in cm</t>
    </r>
    <r>
      <rPr>
        <vertAlign val="superscript"/>
        <sz val="6"/>
        <color rgb="FF000000"/>
        <rFont val="Arial"/>
        <family val="2"/>
      </rPr>
      <t>3</t>
    </r>
    <r>
      <rPr>
        <sz val="6"/>
        <color rgb="FF000000"/>
        <rFont val="Arial"/>
        <family val="2"/>
      </rPr>
      <t>; fgC cell</t>
    </r>
    <r>
      <rPr>
        <vertAlign val="superscript"/>
        <sz val="6"/>
        <color rgb="FF000000"/>
        <rFont val="Arial"/>
        <family val="2"/>
      </rPr>
      <t>–1</t>
    </r>
    <r>
      <rPr>
        <sz val="6"/>
        <color rgb="FF000000"/>
        <rFont val="Arial"/>
        <family val="2"/>
      </rPr>
      <t xml:space="preserve"> = 133.754 × V</t>
    </r>
    <r>
      <rPr>
        <vertAlign val="superscript"/>
        <sz val="6"/>
        <color rgb="FF000000"/>
        <rFont val="Arial"/>
        <family val="2"/>
      </rPr>
      <t>0.438</t>
    </r>
  </si>
  <si>
    <t>Value used to compare methods</t>
  </si>
  <si>
    <t>Plankton protists</t>
  </si>
  <si>
    <r>
      <t>L in µm; W in µm, V in µm</t>
    </r>
    <r>
      <rPr>
        <vertAlign val="superscript"/>
        <sz val="6"/>
        <color rgb="FF000000"/>
        <rFont val="Arial"/>
        <family val="2"/>
      </rPr>
      <t>3</t>
    </r>
    <r>
      <rPr>
        <sz val="6"/>
        <color rgb="FF000000"/>
        <rFont val="Arial"/>
        <family val="2"/>
      </rPr>
      <t>; CW(pg) = 0.216*V(µm</t>
    </r>
    <r>
      <rPr>
        <vertAlign val="superscript"/>
        <sz val="6"/>
        <color rgb="FF000000"/>
        <rFont val="Arial"/>
        <family val="2"/>
      </rPr>
      <t>3</t>
    </r>
    <r>
      <rPr>
        <sz val="6"/>
        <color rgb="FF000000"/>
        <rFont val="Arial"/>
        <family val="2"/>
      </rPr>
      <t>)</t>
    </r>
    <r>
      <rPr>
        <vertAlign val="superscript"/>
        <sz val="6"/>
        <color rgb="FF000000"/>
        <rFont val="Arial"/>
        <family val="2"/>
      </rPr>
      <t>0.939</t>
    </r>
  </si>
  <si>
    <t>T. acuminata</t>
  </si>
  <si>
    <t>Verity &amp; Langdon 1984</t>
  </si>
  <si>
    <t>Putt &amp; Stoecker 1990</t>
  </si>
  <si>
    <r>
      <t>L in µm; W in µm, V in µm</t>
    </r>
    <r>
      <rPr>
        <vertAlign val="superscript"/>
        <sz val="6"/>
        <color rgb="FF000000"/>
        <rFont val="Arial"/>
        <family val="2"/>
      </rPr>
      <t>3</t>
    </r>
    <r>
      <rPr>
        <sz val="6"/>
        <color rgb="FF000000"/>
        <rFont val="Arial"/>
        <family val="2"/>
      </rPr>
      <t>; CW (pg) = 0.14*V(µm</t>
    </r>
    <r>
      <rPr>
        <vertAlign val="superscript"/>
        <sz val="6"/>
        <color rgb="FF000000"/>
        <rFont val="Arial"/>
        <family val="2"/>
      </rPr>
      <t>3</t>
    </r>
    <r>
      <rPr>
        <sz val="6"/>
        <color rgb="FF000000"/>
        <rFont val="Arial"/>
        <family val="2"/>
      </rPr>
      <t>) for cells preserved in formalin.</t>
    </r>
  </si>
  <si>
    <t>ρ=2.2</t>
  </si>
  <si>
    <r>
      <t>V in nm</t>
    </r>
    <r>
      <rPr>
        <vertAlign val="superscript"/>
        <sz val="6"/>
        <color theme="1"/>
        <rFont val="Arial"/>
        <family val="2"/>
      </rPr>
      <t>3</t>
    </r>
    <r>
      <rPr>
        <sz val="6"/>
        <color theme="1"/>
        <rFont val="Arial"/>
        <family val="2"/>
      </rPr>
      <t>,  ρ =1.1</t>
    </r>
  </si>
  <si>
    <t>additional calculations 3</t>
  </si>
  <si>
    <r>
      <t>Assuming a virus weighs 10</t>
    </r>
    <r>
      <rPr>
        <vertAlign val="superscript"/>
        <sz val="6"/>
        <color rgb="FF000000"/>
        <rFont val="Arial"/>
        <family val="2"/>
      </rPr>
      <t>6</t>
    </r>
    <r>
      <rPr>
        <sz val="6"/>
        <color rgb="FF000000"/>
        <rFont val="Arial"/>
        <family val="2"/>
      </rPr>
      <t xml:space="preserve"> daltons and then the weight is just over 1.6*10-17 gC; daltons give the weight in yoctograms</t>
    </r>
  </si>
  <si>
    <t>Favella sp.</t>
  </si>
  <si>
    <t>Verity, P. G., &amp; Lagdon, C. (1984). Relationships between lorica volume, carbon, nitrogen, and ATP content of tintinnids In Narragansett Bay. Journal of Plankton Research, 6(5), 859–868. https://doi.org/10.1093/PLANKT/6.5.859</t>
  </si>
  <si>
    <r>
      <t>na; DW = 3.2*10</t>
    </r>
    <r>
      <rPr>
        <vertAlign val="superscript"/>
        <sz val="6"/>
        <color theme="1"/>
        <rFont val="Arial"/>
        <family val="2"/>
      </rPr>
      <t>-7</t>
    </r>
    <r>
      <rPr>
        <sz val="6"/>
        <color theme="1"/>
        <rFont val="Arial"/>
        <family val="2"/>
      </rPr>
      <t xml:space="preserve"> if prosome is 1/3 of total body length</t>
    </r>
  </si>
  <si>
    <r>
      <t>na; DW = 5.6*10</t>
    </r>
    <r>
      <rPr>
        <vertAlign val="superscript"/>
        <sz val="6"/>
        <color theme="1"/>
        <rFont val="Arial"/>
        <family val="2"/>
      </rPr>
      <t>-7</t>
    </r>
    <r>
      <rPr>
        <sz val="6"/>
        <color theme="1"/>
        <rFont val="Arial"/>
        <family val="2"/>
      </rPr>
      <t xml:space="preserve"> if prosome is 1/3 of total body length</t>
    </r>
  </si>
  <si>
    <r>
      <t>na; DW = 1.1*10</t>
    </r>
    <r>
      <rPr>
        <vertAlign val="superscript"/>
        <sz val="6"/>
        <color theme="1"/>
        <rFont val="Arial"/>
        <family val="2"/>
      </rPr>
      <t>-6</t>
    </r>
  </si>
  <si>
    <r>
      <t>na; DW = 1.4*10</t>
    </r>
    <r>
      <rPr>
        <vertAlign val="superscript"/>
        <sz val="6"/>
        <color theme="1"/>
        <rFont val="Arial"/>
        <family val="2"/>
      </rPr>
      <t>-6</t>
    </r>
  </si>
  <si>
    <r>
      <t>na; DW = 5.9*10</t>
    </r>
    <r>
      <rPr>
        <vertAlign val="superscript"/>
        <sz val="6"/>
        <color theme="1"/>
        <rFont val="Arial"/>
        <family val="2"/>
      </rPr>
      <t>-7</t>
    </r>
  </si>
  <si>
    <t>Bar-On et al. 2018</t>
  </si>
  <si>
    <t>Euler’s number, represented by the letter e, is a fundamental mathematical constant approximately equal to 2.71828</t>
  </si>
  <si>
    <t>Boltzman constant  =
1.380649 × 10-23 m2 kg s-2 K-1</t>
  </si>
  <si>
    <t>Activation energy the minimum energy needed for a chemical reaction to occur</t>
  </si>
  <si>
    <t>Energetic equivalence rule: all size classes included in the analysis use the same amount of energy (energetic equivalence rule: Damuth 1987</t>
  </si>
  <si>
    <t>eV: electrovolt</t>
  </si>
  <si>
    <r>
      <t>na; DW is 1.7*10</t>
    </r>
    <r>
      <rPr>
        <vertAlign val="superscript"/>
        <sz val="6"/>
        <color theme="1"/>
        <rFont val="Arial"/>
        <family val="2"/>
      </rPr>
      <t>-8</t>
    </r>
  </si>
  <si>
    <r>
      <t xml:space="preserve">L=50, W=30 </t>
    </r>
    <r>
      <rPr>
        <sz val="6"/>
        <color theme="1"/>
        <rFont val="Aptos Narrow"/>
        <family val="2"/>
      </rPr>
      <t>µ</t>
    </r>
    <r>
      <rPr>
        <sz val="6"/>
        <color theme="1"/>
        <rFont val="Arial"/>
        <family val="2"/>
      </rPr>
      <t>m</t>
    </r>
  </si>
  <si>
    <r>
      <t xml:space="preserve">L=500, W=333 </t>
    </r>
    <r>
      <rPr>
        <sz val="6"/>
        <color theme="1"/>
        <rFont val="Aptos Narrow"/>
        <family val="2"/>
      </rPr>
      <t>µ</t>
    </r>
    <r>
      <rPr>
        <sz val="6"/>
        <color theme="1"/>
        <rFont val="Arial"/>
        <family val="2"/>
      </rPr>
      <t>m</t>
    </r>
  </si>
  <si>
    <r>
      <t xml:space="preserve">L=500, W=50 </t>
    </r>
    <r>
      <rPr>
        <sz val="6"/>
        <color theme="1"/>
        <rFont val="Aptos Narrow"/>
        <family val="2"/>
      </rPr>
      <t>µ</t>
    </r>
    <r>
      <rPr>
        <sz val="6"/>
        <color theme="1"/>
        <rFont val="Arial"/>
        <family val="2"/>
      </rPr>
      <t>m</t>
    </r>
  </si>
  <si>
    <t>Gonyaulacal</t>
  </si>
  <si>
    <t>Linacre et al. 2021</t>
  </si>
  <si>
    <t>water and the remaining dry weight (20%) is considered</t>
  </si>
  <si>
    <t>to be 50% C.</t>
  </si>
  <si>
    <t>Secaira-Morocho, H., Chede, A., Gonzalez-de-Salceda, L., Garcia-Pichel, F. and Zhu, Q., 2024. An evolutionary optimum amid moderate heritability in prokaryotic cell size. Cell reports, 43(6).</t>
  </si>
  <si>
    <t>López-Sandoval 2014</t>
  </si>
  <si>
    <t>Coccolithophore</t>
  </si>
  <si>
    <t>Villiot, N., Poulton, A.J., Butcher, E.T., Daniels, L.R. and Coggins, A., 2021. Allometry of carbon and nitrogen content and growth rate in a diverse range of coccolithophores. Journal of Plankton Research, 43(4), pp.511-526.</t>
  </si>
  <si>
    <t>Villiot et al. 2021</t>
  </si>
  <si>
    <t>Sherical shape; V=(π/6) ×d3</t>
  </si>
  <si>
    <r>
      <t>L in µm; W in µm, V in µm</t>
    </r>
    <r>
      <rPr>
        <vertAlign val="superscript"/>
        <sz val="6"/>
        <color rgb="FF000000"/>
        <rFont val="Arial"/>
        <family val="2"/>
      </rPr>
      <t>3</t>
    </r>
    <r>
      <rPr>
        <sz val="6"/>
        <color rgb="FF000000"/>
        <rFont val="Arial"/>
        <family val="2"/>
      </rPr>
      <t>; CW(pg)=0.3 *V(µm</t>
    </r>
    <r>
      <rPr>
        <vertAlign val="superscript"/>
        <sz val="6"/>
        <color rgb="FF000000"/>
        <rFont val="Arial"/>
        <family val="2"/>
      </rPr>
      <t>3</t>
    </r>
    <r>
      <rPr>
        <sz val="6"/>
        <color rgb="FF000000"/>
        <rFont val="Arial"/>
        <family val="2"/>
      </rPr>
      <t>)</t>
    </r>
    <r>
      <rPr>
        <vertAlign val="superscript"/>
        <sz val="6"/>
        <color rgb="FF000000"/>
        <rFont val="Arial"/>
        <family val="2"/>
      </rPr>
      <t>0.7</t>
    </r>
  </si>
  <si>
    <t>W=30</t>
  </si>
  <si>
    <t>Romanova &amp; Sazhin 2010</t>
  </si>
  <si>
    <t>h (µm)</t>
  </si>
  <si>
    <t>Publication</t>
  </si>
  <si>
    <t>Notes</t>
  </si>
  <si>
    <t>post2010</t>
  </si>
  <si>
    <t>good dataset</t>
  </si>
  <si>
    <t>Linacre, L; Sánchez-Robles, C; Mirabal-Gómez, U; Lara-Lara, JR; Bazán-Guzmán, C</t>
  </si>
  <si>
    <t>Leblanc, K; Arístegui, J; Armand, L; Assmy, P; Beker, B; Bode, A; Breton, E; Cornet, V; Gibson, J; Gosselin, MP; Kopczynska, E; Marshall, H; Peloquin, J; Piontkovski, S; Poulton, AJ; Quéguiner, B; Schiebel, R; Shipe, R; Stefels, J; van Leeuwe, MA; Varela, M; Widdicombe, C; Yallop, M</t>
  </si>
  <si>
    <t>Aguilar-Trigueros, C. A., Rillig, M. C., and Crowther, T. W. (2017). Applying allometric theory to fungi. ISME J. 11, 2175–2180. doi: 10.1038/ISMEJ.2017.86</t>
  </si>
  <si>
    <t>fungi!</t>
  </si>
  <si>
    <t>some mistakes for body weight hence not anchor piece</t>
  </si>
  <si>
    <t>pre2010</t>
  </si>
  <si>
    <t>anchor</t>
  </si>
  <si>
    <t>Tekwa, E. W., Catalano, K. A., Bazzicalupo, A. L., O’Connor, M. I., and Pinsky, M. L. (2023). The sizes of life. PLoS One 18, e0283020. doi: 10.1371/JOURNAL.PONE.0283020</t>
  </si>
  <si>
    <t>Barberán, A., Casamayor, E.O. and Fierer, N., 2014. The microbial contribution to macroecology. Frontiers in microbiology, 5, p.203.</t>
  </si>
  <si>
    <t>generla thoughts on macroecology and microbes, not allometric as such but useful</t>
  </si>
  <si>
    <t>Burke, J.E., Elder, L.E., Maas, A.E., Gaskell, D.E., Clark, E.G., Hsiang, A.Y., Foster, G.L. and Hull, P.M., 2025. Physiological and morphological scaling enables gigantism in pelagic protists. Limnology and Oceanography, 70(2), pp.461-476.</t>
  </si>
  <si>
    <t>DeLong, J.P., 2012. Experimental demonstration of a'rate-size'trade-off governing body size optimization. Evolutionary Ecology Research, 14(3), pp.343-352.</t>
  </si>
  <si>
    <t>amoeba feeding on parapmecium confirms mass-specific production</t>
  </si>
  <si>
    <t>Dera, G., Nardin, E., Risser, L., Albino, M., Garnier, Q., Kardacz, M. and Monge-Waleryszak, L., 2026. Mapping life’s disparity and evolutionary constraints in a geometric complexity space. Science Advances, 12(2), p.eaea6945.</t>
  </si>
  <si>
    <t>life forms exploid a limited number of possile body shapes (simple, round ones!)</t>
  </si>
  <si>
    <t>Deutsch, C., Penn, J.L., Verberk, W.C., Inomura, K., Endress, M.G. and Payne, J.L., 2022. Impact of warming on aquatic body sizes explained by metabolic scaling from microbes to macrofauna. Proceedings of the National Academy of Sciences, 119(28), p.e2201345119.</t>
  </si>
  <si>
    <t>Dickey, J.R., Swenie, R.A., Turner, S.C., Winfrey, C.C., Yaffar, D., Padukone, A., Beals, K.K., Sheldon, K.S. and Kivlin, S.N., 2021. The utility of macroecological rules for microbial biogeography. Frontiers in Ecology and Evolution, 9, p.633155.</t>
  </si>
  <si>
    <t>Edwards, K.F., Thomas, M.K., Klausmeier, C.A. and Litchman, E., 2012. Allometric scaling and taxonomic variation in nutrient utilization traits and maximum growth rate of phytoplankton. Limnology and Oceanography, 57(2), pp.554-566.</t>
  </si>
  <si>
    <t>Gjoni, V., Glazier, D.S., Wesner, J.S., Ibelings, B.W. and Thomas, M.K., 2023. Temperature, resources and predation interact to shape phytoplankton size–abundance relationships at a continental scale. Global Ecology and Biogeography, 32(11), pp.2006-2016.</t>
  </si>
  <si>
    <t>Size-abundance scaling in phytoplankton is close to -1 but varies with environment</t>
  </si>
  <si>
    <t>Glazier DS. (2015). Is metabolic rate a universal 'pace maker' for biological processes? Biol Rev Camb Philos Soc 90: 377–407.</t>
  </si>
  <si>
    <t>Glazier, D.S., 2022. Variable metabolic scaling breaks the law: from ‘Newtonian’to ‘Darwinian’approaches. Proceedings of the Royal Society B: Biological Sciences, 289(1985).</t>
  </si>
  <si>
    <t>Glazier, D.S., 2025. Does death drive the scaling of life?. Biological Reviews, 100(2), pp.586-619.</t>
  </si>
  <si>
    <t>Hansen, A.N. and Visser, A.W., 2019. The seasonal succession of optimal diatom traits. Limnology and Oceanography, 64(4), pp.1442-1457.</t>
  </si>
  <si>
    <t>Body volume of diatoms context dependent</t>
  </si>
  <si>
    <t>Hirst, A.G., Glazier, D.S. and Atkinson, D., 2014. Body shape shifting during growth permits tests that distinguish between competing geometric theories of metabolic scaling. Ecology Letters, 17(10), pp.1274-1281.</t>
  </si>
  <si>
    <t>change in body shape during growth</t>
  </si>
  <si>
    <t>Huete-Ortega, M., Cermeno, P., Calvo-Díaz, A. and Maranon, E., 2012. Isometric size-scaling of metabolic rate and the size abundance distribution of phytoplankton. Proceedings of the Royal Society B: Biological Sciences, 279(1734), pp.1815-1823.</t>
  </si>
  <si>
    <t>phytoplankton isometric scaling</t>
  </si>
  <si>
    <t>Huete-Stauffer, T.M., Arandia-Gorostidi, N., Alonso-Sáez, L. and Morán, X.A.G., 2016. Experimental warming decreases the average size and nucleic acid content of marine bacterial communities. Frontiers in microbiology, 7, p.730.</t>
  </si>
  <si>
    <t>baceria evolve to be smaller with warming</t>
  </si>
  <si>
    <t>Huete-Stauffer, T.M., Arandia-Gorostidi, N., Díaz-Pérez, L. and Moran, X.A.G., 2015. Temperature dependences of growth rates and carrying capacities of marine bacteria depart from metabolic theoretical predictions. FEMS Microbiology Ecology, 91(10), p.fiv111.</t>
  </si>
  <si>
    <t>activaton energy in prokaryotes does not scale with temperature as predicted by MTE</t>
  </si>
  <si>
    <t>Kempes, C.P., Koehl, M.A.R. and West, G.B., 2019. The scales that limit: the physical boundaries of evolution. Frontiers in Ecology and Evolution, 7, p.445231.</t>
  </si>
  <si>
    <t>optimal body plan plays a role</t>
  </si>
  <si>
    <t>Kiørboe, T. and Hirst, A.G., 2014. Shifts in mass scaling of respiration, feeding, and growth rates across life-form transitions in marine pelagic organisms. The American Naturalist, 183(4), pp.E118-E130.</t>
  </si>
  <si>
    <t>Locey, K.J. and Lennon, J.T., 2016. Scaling laws predict global microbial diversity. Proceedings of the National Academy of Sciences, 113(21), pp.5970-5975.</t>
  </si>
  <si>
    <t>López-Sandoval, D.C., Rodríguez-Ramos, T., Cermeño, P., Sobrino, C. and Marañón, E., 2014. Photosynthesis and respiration in marine phytoplankton: Relationship with cell size, taxonomic affiliation, and growth phase. Journal of experimental marine biology and ecology, 457, pp.151-159.</t>
  </si>
  <si>
    <t>Lynch, M., Trickovic, B. and Kempes, C.P., 2022. Evolutionary scaling of maximum growth rate with organism size. Scientific reports, 12(1), p.22586.</t>
  </si>
  <si>
    <t>database for body mass and growth rate</t>
  </si>
  <si>
    <t>Maino, J.L., Kearney, M.R., Nisbet, R.M. and Kooijman, S.A., 2014. Reconciling theories for metabolic scaling. Journal of Animal Ecology, 83(1), pp.20-29.</t>
  </si>
  <si>
    <t>DEB theory</t>
  </si>
  <si>
    <t>Makarieva AM, Gorshkov VG, Li BL, Chown SL, Reich PB, Gavrilov VM. (2005). Energetics of the smallest: do bacteria breathe at the same rate as whales? Proc Biol Sci 272: 2219–2224.</t>
  </si>
  <si>
    <t>Malerba, M.E. and Marshall, D.J., 2019. Size‐abundance rules? Evolution changes scaling relationships between size, metabolism and demography. Ecology Letters, 22(9), pp.1407-1416.</t>
  </si>
  <si>
    <t>MTE changes with evolution</t>
  </si>
  <si>
    <t>Marañón, E., 2015. Cell size as a key determinant of phytoplankton metabolism and community structure. Annual review of marine science, 7(1), pp.241-264.</t>
  </si>
  <si>
    <t>McClain, C.R., Heim, N.A., Knope, M.L., Monarrez, P.M., Payne, J.L., Santos, I.T. and Webb, T.J., 2025. MOBS 1.0: A database of interspecific variation in marine organismal body sizes. Global Ecology and Biogeography, 34(6), p.e70062.</t>
  </si>
  <si>
    <t>marine body mass database</t>
  </si>
  <si>
    <t>Okie, J.G., Smith, V.H. and Martin-Cereceda, M., 2016. Major evolutionary transitions of life, metabolic scaling and the number and size of mitochondria and chloroplasts. Proceedings of the Royal Society B: Biological Sciences, 283(1831).</t>
  </si>
  <si>
    <t>mass-mitrochondria scaling</t>
  </si>
  <si>
    <t>Pawar, S., Dell, A.I. and Savage, V.M., 2015. From metabolic constraints on individuals to the dynamics of ecosystems. In Aquatic functional biodiversity (pp. 3-36). Academic Press.</t>
  </si>
  <si>
    <t>Shade, A., Dunn, R.R., Blowes, S.A., Keil, P., Bohannan, B.J., Herrmann, M., Küsel, K., Lennon, J.T., Sanders, N.J., Storch, D. and Chase, J., 2018. Macroecology to unite all life, large and small. Trends in ecology &amp; evolution, 33(10), pp.731-744.</t>
  </si>
  <si>
    <t>Sinsabaugh, R.L., Shah, J.J.F., Findlay, S.G., Kuehn, K.A. and Moorhead, D.L., 2015. Scaling microbial biomass, metabolism and resource supply. Biogeochemistry, 122(2), pp.175-190.</t>
  </si>
  <si>
    <t>Smith, T.P., Thomas, T.J., García-Carreras, B., Sal, S., Yvon-Durocher, G., Bell, T. and Pawar, S., 2019. Community-level respiration of prokaryotic microbes may rise with global warming. Nature communications, 10(1), p.5124.</t>
  </si>
  <si>
    <t>Vasseur, F., Mahaut, L., Enquist, B.J. and Violle, C., 2025. From organism traits to ecosystem processes: why size is so important. Annual Review of Ecology, Evolution, and Systematics, 56.</t>
  </si>
  <si>
    <t>Ward, B.A., Marañón, E., Sauterey, B., Rault, J. and Claessen, D., 2017. The size dependence of phytoplankton growth rates: a trade-off between nutrient uptake and metabolism. The American Naturalist, 189(2), pp.170-177.</t>
  </si>
  <si>
    <t>MTE does not apply</t>
  </si>
  <si>
    <t>White, C.R. and Marshall, D.J., 2023. How and why does metabolism scale with body mass?. Physiology, 38(6), pp.266-274.</t>
  </si>
  <si>
    <t>life history theory, dynamic energy budget theory (DEB), pace of life theory (POLS), and metabolic theory of ecology (MTE). </t>
  </si>
  <si>
    <t>Müller, H., and Geller, W. (1993). Maximum growth rates of aquatic ciliated protozoa: the dependence on body size and temperature reconsidered. Arch. Hydrobiol. 126, 315.</t>
  </si>
  <si>
    <t>Curini-Galletti, M., Artois, T., Delogu, V., de Smet, W. H., Fontaneto, D., Jondelius, U., Leasi, F., Martínez, A., Meyer-Wachsmuth, I., Nilsson, K. S., Tongiorgi, P., Worsaae, K., &amp; Todaro, M. A. (2012). Patterns of Diversity in Soft-Bodied Meiofauna: Dispersal Ability and Body Size Matter. PLOS ONE, 7(3), e33801. https://doi.org/10.1371/JOURNAL.PONE.0033801</t>
  </si>
  <si>
    <t>Micro body mass</t>
  </si>
  <si>
    <t>Resource type</t>
  </si>
  <si>
    <t>As Large as Microscopic Life: A Synthesis of Body Mass Estimates and Allometric Scaling for the Aquatic Microworld</t>
  </si>
  <si>
    <t>Secaira-Morocho et al. 2024</t>
  </si>
  <si>
    <t>Curini-Galletti et al. 2012</t>
  </si>
  <si>
    <t>Wide range of meiofauna</t>
  </si>
  <si>
    <t>unicellular phytoplankton - wide range of species</t>
  </si>
  <si>
    <t>Wide range of species</t>
  </si>
  <si>
    <t>Across group comparison</t>
  </si>
  <si>
    <t xml:space="preserve">Examples of species </t>
  </si>
  <si>
    <t>good dataset; protists body mass scales with emtabolism as 1, body mass database</t>
  </si>
  <si>
    <t>Systemised search for</t>
  </si>
  <si>
    <t xml:space="preserve">Allometry of the small </t>
  </si>
  <si>
    <t>Parameter</t>
  </si>
  <si>
    <t>DeLong et al. (2010) slope</t>
  </si>
  <si>
    <t>Examples for allometric scaling data for microbes</t>
  </si>
  <si>
    <t>Unicellular eukaryotes</t>
  </si>
  <si>
    <t xml:space="preserve">Metabolic rate </t>
  </si>
  <si>
    <t>(e.g. respiration)</t>
  </si>
  <si>
    <t>Makarieva et al. 2005</t>
  </si>
  <si>
    <t>Huete-Ortega 2012; López-Sandoval et al. 2014; Ward et al. 2017; Burke et al. 2025; Fenchel &amp; Finlay 1983</t>
  </si>
  <si>
    <t>Aguilar-Trigueros et al., 2017</t>
  </si>
  <si>
    <t xml:space="preserve">Maximum growth rate </t>
  </si>
  <si>
    <t>−0.26</t>
  </si>
  <si>
    <t>−0.23</t>
  </si>
  <si>
    <t>Lynch et al. 2023</t>
  </si>
  <si>
    <t>Reiss &amp; Schmid-Araya 2010</t>
  </si>
  <si>
    <t>−1.96</t>
  </si>
  <si>
    <t>−1.06</t>
  </si>
  <si>
    <t>−0.79</t>
  </si>
  <si>
    <t>Schmid et al. 2000; Finlay 2002; Gjoni et al. 2023; Perkins et al. 2019; Hatton et al. 2021</t>
  </si>
  <si>
    <t>Schmid et al. 2000; Hatton et al. 2021</t>
  </si>
  <si>
    <t>−0.96</t>
  </si>
  <si>
    <t>−0.06</t>
  </si>
  <si>
    <t>Hatton et al. 2021; Tekwa et al. 2023</t>
  </si>
  <si>
    <t>Production</t>
  </si>
  <si>
    <t>−0.32</t>
  </si>
  <si>
    <t>−0.02</t>
  </si>
  <si>
    <t>n/a</t>
  </si>
  <si>
    <t>Abundance (in MTE:  the reciprocal of metabolic rate)</t>
  </si>
  <si>
    <t>Biomass (product of abundance and body mass)</t>
  </si>
  <si>
    <t>Fenchel, T. (1974). Intrinsic rate of natural increase: the relationship with body size. Oecologia 14, 317–326.</t>
  </si>
  <si>
    <t>Pyxidicula operculata</t>
  </si>
  <si>
    <t>Su et al. 2024</t>
  </si>
  <si>
    <t>Rhizophydiales (Chytridiomycota) isolates; sporangium</t>
  </si>
  <si>
    <t>Letcher et al. 2008</t>
  </si>
  <si>
    <t>yeasts</t>
  </si>
  <si>
    <t>Kowalska et al. 2022</t>
  </si>
  <si>
    <t>Kowalska, J., Krzymińska, J. and Tyburski, J., 2022. Yeasts as a potential biological agent in plant disease protection and yield improvement—A short review. Agriculture, 12(9), p.1404.</t>
  </si>
  <si>
    <t>Su, J., Mazei, Y. A., Tsyganov, A. N., Chernyshov, V. A., Komarov, A. A., Malysheva, E. A., Babeshko, K. V., Mazei, N. G., Saldaev, D. A., Levin, B., &amp; Yakimov, B. N. (2024). Functional traits data for testate amoebae of Northern Holarctic realm. Scientific Data 2024 11:1, 11(1), 1028-. https://doi.org/10.1038/s41597-024-03874-0</t>
  </si>
  <si>
    <t>Number post 2010</t>
  </si>
  <si>
    <t>https://arcella.nl/</t>
  </si>
  <si>
    <t>Amoebae, some aquatic</t>
  </si>
  <si>
    <t>Unicellular eukaryotes - autotroph</t>
  </si>
  <si>
    <t>Unicellular eukaryotes - heterotroph</t>
  </si>
  <si>
    <t>Unicellular eukaryotes - phototroph</t>
  </si>
  <si>
    <t>Unicellular eukaryotes - mixotroph</t>
  </si>
  <si>
    <t>1 Brunel University of London, Uxbridge, UB8 3PH, UK.</t>
  </si>
  <si>
    <t>Viruses, aquatic</t>
  </si>
  <si>
    <t>Marnaviridae</t>
  </si>
  <si>
    <t>Pandoravirusa</t>
  </si>
  <si>
    <t>8.2 × 103 Virion vol (nm3)</t>
  </si>
  <si>
    <t>7.5 × 107 Virion vol (nm3)</t>
  </si>
  <si>
    <t>Cui, J., Schlub, T.E. and Holmes, E.C., 2014. An allometric relationship between the genome length and virion volume of viruses. Journal of virology, 88(11), pp.6403-6410.</t>
  </si>
  <si>
    <t>virus body volume</t>
  </si>
  <si>
    <t>Cui et al. 2014</t>
  </si>
  <si>
    <t>Fenchel, T. (2014). Respiration in heterotrophic unicellular eukaryotic organisms. Protist, 165(4), 485–492.</t>
  </si>
  <si>
    <t>George and Lindo 2015</t>
  </si>
  <si>
    <t>L in mm; W in mm; V in nL; V(nL) = a*b²*530; ρ = 1.084; FW = V*ρ, DW is 25% of FW.</t>
  </si>
  <si>
    <t>Taxon factor</t>
  </si>
  <si>
    <t>George, P.B. and Lindo, Z., 2015. Application of body size spectra to nematode trait-index analyses. Soil Biology and Biochemistry, 84, pp.15-20.</t>
  </si>
  <si>
    <t>use mix of equations from the 60s and 70s</t>
  </si>
  <si>
    <t>Copepoda; Oithona spp.</t>
  </si>
  <si>
    <t>afdm, do antilog to get weight</t>
  </si>
  <si>
    <t>Leite, L.B., Garcia, T.M., Campos, C.C., Júnior, J.P.V.A., de Melo Júnior, M. and Soares, M.O., 2025. Large salinity fluctuations affect the biovolume and biomass of keystone estuarine copepods. Marine Environmental Research, 210, p.107308.</t>
  </si>
  <si>
    <t>volume and carbon weight</t>
  </si>
  <si>
    <t>Prosome L 500, Width 190, Height 200</t>
  </si>
  <si>
    <t>L, W and H, prosome length, width and height (μm), respectively equations for volume and AFDM</t>
  </si>
  <si>
    <t>L in mm; W in mm; V in nL; V(nL) = a*b²*530; ρ =  
1.13; FW = V*ρ, DW is 25% of FW.</t>
  </si>
  <si>
    <t>Losi et al. 2013</t>
  </si>
  <si>
    <t>Losi, V., Moreno, M., Gaozza, L., Vezzulli, L., Fabiano, M. and Albertelli, G., 2013. Nematode biomass and allometric attributes as indicators of environmental quality in a Mediterranean harbour (Ligurian Sea, Italy). Ecological indicators, 30, pp.80-89.</t>
  </si>
  <si>
    <t>volume and DW nematodes</t>
  </si>
  <si>
    <t>Copepods</t>
  </si>
  <si>
    <t>Karnan, C., Jyothibabu, R., ManojKumar, T.M., Jagadeesan, L. and Arunpandi, N., 2017. On the accuracy of assessing copepod size and biovolume using FlowCAM and traditional microscopy. Indian J Geo-Mar Sci.</t>
  </si>
  <si>
    <t>copepods image software better than microscope</t>
  </si>
  <si>
    <t>ZooImage</t>
  </si>
  <si>
    <t>Di Mauro, R., Cepeda, G., Capitanio, F. and Viñas, M.D., 2011. Using ZooImage automated system for the estimation of biovolume of copepods from the northern Argentine Sea. Journal of Sea Research, 66(2), pp.69-75.</t>
  </si>
  <si>
    <t>Candidatus Actinomarina minuta</t>
  </si>
  <si>
    <t>Levin and Angert 2026</t>
  </si>
  <si>
    <t>marine bacteria</t>
  </si>
  <si>
    <t>Thiomargarita namibiensis</t>
  </si>
  <si>
    <t>not used, volume given in fL but too high</t>
  </si>
  <si>
    <t>V = π (LWH)/6 + π (lw2)/4</t>
  </si>
  <si>
    <t>Delia Viñas, M., Diovisalvi, N.R. and Cepeda, G.D., 2010. Individual biovolume of some dominant copepod species in coastal waters off Buenos Aires province, Argentine Sea. Brazilian Journal of Oceanography, 58(2), pp.177-181.</t>
  </si>
  <si>
    <t>copepod biovolume</t>
  </si>
  <si>
    <t>Viñas et al. 2010</t>
  </si>
  <si>
    <t>Arashkevich, E.G., Drits, A.V., Pasternak, A.F., Frenkel, S.E. and Karmanov, V.A., 2024. Relationship between respiration rate and body weight in Arctic copepods at subzero temperature. Oceanology, 64(2), pp.267-277.</t>
  </si>
  <si>
    <t>M-R copepods</t>
  </si>
  <si>
    <t>body mass copepods</t>
  </si>
  <si>
    <t>Collosphaeridae cells ranged from 32.73 to251.49 ng C cell−1</t>
  </si>
  <si>
    <t>Mansour, J.S., Norlin, A., Llopis Monferrer, N., L'Helguen, S. and Not, F., 2021. Carbon and nitrogen content to biovolume relationships for marine protist of the Rhizaria lineage (Radiolaria and Phaeodaria). Limnology and Oceanography, 66(5), pp.1703-1717.</t>
  </si>
  <si>
    <t>Mansour et al. 2021</t>
  </si>
  <si>
    <t>Rhizaria protists</t>
  </si>
  <si>
    <t>Collosphaeridae small</t>
  </si>
  <si>
    <t>Collosphaeridae large</t>
  </si>
  <si>
    <t>G. oceanica</t>
  </si>
  <si>
    <t>E. huxleyi</t>
  </si>
  <si>
    <t>C. braarudii</t>
  </si>
  <si>
    <t>Toullec, J., Delegrange, A., Perruchon, A., Duong, G., Cornille, V., Brutier, L. and Hermoso, M., 2022. Copepod feeding responses to changes in coccolithophore size and carbon content. Journal of Marine Science and Engineering, 10(12), p.1807.</t>
  </si>
  <si>
    <t>Toullec et al. 2022</t>
  </si>
  <si>
    <t xml:space="preserve">Nematode </t>
  </si>
  <si>
    <t>Armenteros, M. and Ruiz-Abierno, A., 2015. Body size distribution of free-living marine nematodes from a Caribbean coral reef. Nematology, 17(10), pp.1153-1164.</t>
  </si>
  <si>
    <t>marine nematodes</t>
  </si>
  <si>
    <t>Armenteros et al. 2015</t>
  </si>
  <si>
    <t>Banas, N.S. and Campbell, R.G., 2016. Traits controlling body size in copepods: separating general constraints from species-specific strategies. Marine Ecology Progress Series, 558, pp.21-33.</t>
  </si>
  <si>
    <t>copepods and growth</t>
  </si>
  <si>
    <t>Becker, É.C., Macedo‐Soares, L.C., Marcolin, C.R., Brandao, M.C., Stemmann, L., Mazzocchi, M.G. and Freire, A.S., 2024. Oceanographic features boost latitudinal patterns in copepod body size distribution in the South Atlantic. Limnology and Oceanography, 69(11), pp.2668-2679.</t>
  </si>
  <si>
    <t>proxy for body mass is ESD</t>
  </si>
  <si>
    <t>Sharma et al. 2011</t>
  </si>
  <si>
    <t>Sharma, J., Baguley, J., Bluhm, B.A. and Rowe, G., 2011. Do meio-and macrobenthic nematodes differ in community composition and body weight trends with depth?. PLoS One, 6(1), p.e14491.</t>
  </si>
  <si>
    <t>nematode formula</t>
  </si>
  <si>
    <t>Corona, S., Hirst, A., Atkinson, D. and Atkinson, A., 2021. Density‐dependent modulation of copepod body size and temperature–size responses in a shelf sea. Limnology and Oceanography, 66(11), pp.3916-3927.</t>
  </si>
  <si>
    <t xml:space="preserve">DW (µg) = 15.2PL(mm)2.97 </t>
  </si>
  <si>
    <t xml:space="preserve">Corona et al. 2021 citing Klein Breteler et al., 1982 0.97 </t>
  </si>
  <si>
    <t xml:space="preserve">DW (µg) = 19.1PL(mm)2.74 </t>
  </si>
  <si>
    <t xml:space="preserve">Corona et al. 2021 citing Hay et al., 1991   </t>
  </si>
  <si>
    <t xml:space="preserve">CW (µg) = 2.85PL(mm)2.16 </t>
  </si>
  <si>
    <t xml:space="preserve">Corona et al. 2021 citing Sabatini &amp; Kiørboe 1994 </t>
  </si>
  <si>
    <t xml:space="preserve">DW (µg) = 17.8PL(mm)2.45 </t>
  </si>
  <si>
    <t xml:space="preserve">Corona et al. 2021 citing Klein Breteler et al., 1982   </t>
  </si>
  <si>
    <t xml:space="preserve">DW (µg) = 31.3PL(mm)3.06 </t>
  </si>
  <si>
    <t xml:space="preserve">Corona et al. 2021 citing Klein Breteler et al., 1982 0.99 </t>
  </si>
  <si>
    <t xml:space="preserve">DW (µg) = 19PL(mm)2.73 </t>
  </si>
  <si>
    <t xml:space="preserve">DW (µg) = 15.4PL(mm)2.71 </t>
  </si>
  <si>
    <t xml:space="preserve">Corona et al. 2021 citing Hay et al., 1991  </t>
  </si>
  <si>
    <t xml:space="preserve">Copepod A. clausi </t>
  </si>
  <si>
    <t xml:space="preserve">Copepod P. parvus </t>
  </si>
  <si>
    <t xml:space="preserve">Copepod O. similis </t>
  </si>
  <si>
    <t xml:space="preserve">Copepod C. typicus </t>
  </si>
  <si>
    <t xml:space="preserve">Copepod T. longicornis </t>
  </si>
  <si>
    <t xml:space="preserve">Copepod P. elongatus </t>
  </si>
  <si>
    <t xml:space="preserve">Copepod C. helgolandicus </t>
  </si>
  <si>
    <t>species specific mass equations copepods</t>
  </si>
  <si>
    <t>Verity and Lagdon, 1984</t>
  </si>
  <si>
    <t>V=lorica volume</t>
  </si>
  <si>
    <t xml:space="preserve">L in µm; W in µm, V in µm3; CW = V × 0.053 + 444.5 </t>
  </si>
  <si>
    <t>Sjöstedt et al. 2012 citing Blackburn et al. 1998</t>
  </si>
  <si>
    <t>Marine bacteria, acridine orange</t>
  </si>
  <si>
    <t>different shapes, radius calculated by image software</t>
  </si>
  <si>
    <r>
      <t>L in µm; W in µm, V in µm</t>
    </r>
    <r>
      <rPr>
        <vertAlign val="superscript"/>
        <sz val="6"/>
        <color rgb="FF000000"/>
        <rFont val="Arial"/>
        <family val="2"/>
      </rPr>
      <t>3</t>
    </r>
  </si>
  <si>
    <t>Sjöstedt, J., Hagström, Å. and Zweifel, U.L., 2012. Variation in cell volume and community composition of bacteria in response to temperature. Aquatic Microbial Ecology, 66(3), pp.237-246.</t>
  </si>
  <si>
    <t>Mustard, A.T. and Anderson, T.R., 2005. Use of spherical and spheroidal models to calculate zooplankton biovolume from particle equivalent spherical diameter as measured by an optical plankton counter. Limnology and Oceanography: Methods, 3(3), pp.183-189.</t>
  </si>
  <si>
    <t>Wet Weight= Length * Width2/1600000. Dry weight is 25% of wet weight.</t>
  </si>
  <si>
    <t>L in µm; W in µm, FW in µg; FW=L*W2/1600000</t>
  </si>
  <si>
    <t>L in µm; W in µm, FW in µg; FW=L*W2/1700000; CW is 10% of WW.</t>
  </si>
  <si>
    <t>Moens, T., Vafeiadou, A.M., De Geyter, E., Vanormelingen, P., Sabbe, K. and De Troch, M., 2014. Diatom feeding across trophic guilds in tidal flat nematodes, and the importance of diatom cell size. Journal of Sea Research, 92, pp.125-133.</t>
  </si>
  <si>
    <t>hillebrand for diatoms and own calcaulratio s for nematodes</t>
  </si>
  <si>
    <t>Moens et al. 2014</t>
  </si>
  <si>
    <t>L=500, W=333 µm</t>
  </si>
  <si>
    <t>Nematoda,  marine</t>
  </si>
  <si>
    <r>
      <rPr>
        <sz val="6"/>
        <color theme="1"/>
        <rFont val="Arial"/>
        <family val="2"/>
      </rPr>
      <t xml:space="preserve">Ciliates; </t>
    </r>
    <r>
      <rPr>
        <i/>
        <sz val="6"/>
        <color theme="1"/>
        <rFont val="Arial"/>
        <family val="2"/>
      </rPr>
      <t>Tetrahymena elliotti</t>
    </r>
  </si>
  <si>
    <t>Ciliates, 14 marine species</t>
  </si>
  <si>
    <t>Ciliates, Oligotrich ciliates</t>
  </si>
  <si>
    <t>Ciliates, Tintinnid ciliates</t>
  </si>
  <si>
    <t>equivalent spherical diameter (ESD); 
(feret diameter); flow through such as ZooImage, ZooScan</t>
  </si>
  <si>
    <t>Becker et al. 2024; Di Mauro et al. 2011; Mallick et al. 2024; Karnan et al. 2017</t>
  </si>
  <si>
    <t>Mallick, N., Allen, D.M. and Stone, J.P., 2024. Long-term increase in copepod community body size in a temperate estuary over a 40-year times series. Journal of Plankton Research, 46(5), pp.486-499.</t>
  </si>
  <si>
    <t>ferret diameter for copepods, good paper to give some more detail on estiamting biovolume from flow-through cameras</t>
  </si>
  <si>
    <t>Deb et al. 2024</t>
  </si>
  <si>
    <t>A. granulata</t>
  </si>
  <si>
    <t>A. ambigua f. japonica</t>
  </si>
  <si>
    <t>F. crotonensis</t>
  </si>
  <si>
    <t>Freshwater diatom</t>
  </si>
  <si>
    <t>Deb, S., Weilhoefer, C.L., Fukushima, K., Goda, Y., Akatsuka, T. and Nakano, S.I., 2024. Seasonal changes in cell size of the dominant diatom species in Lake Biwa. International Journal of Limnology, 60, p.6.</t>
  </si>
  <si>
    <t>3 freshw diatom species length</t>
  </si>
  <si>
    <t>Koguchi, Y., Tokuhiro, K., Ashjian, C.J., Campbell, R.G. and Yamaguchi, A., 2023. Body length, dry and ash-free dry weights, and developmental changes at each copepodid stage in five sympatric mesopelagic aetideid copepods in the western Arctic Ocean. Crustaceana, 96(2), pp.113-129.</t>
  </si>
  <si>
    <t>Crustacea - copepods - copepodids</t>
  </si>
  <si>
    <t>Koguchi et al. 2023</t>
  </si>
  <si>
    <t>copepodid regressions for 5 species</t>
  </si>
  <si>
    <t>Crustacea -Copepods</t>
  </si>
  <si>
    <t>Body size metrics for morphotypes of different shapes were calculated according to Svetlichny (1983): wetweight (WW)=Kc×prosomallength×width2, (2) where Kc is a constant, 0.6 for calanoids and 0.705 for cy clopoids (McKinnon and Duggan, 2003), and an average value of 0.65 for groups where conversion factors were not available. A conversion factor of 0.135×0.42 was used to convert wet weight to carbon weight, i.e., dryweight(DW) = 0.135×WW (Postel et al., 2000)and (3) carbon weight (W) =0.42×DW (Beers, 1966).</t>
  </si>
  <si>
    <t>Lin et al. 2013</t>
  </si>
  <si>
    <t>Lin, K.Y., Sastri, A.R., Gong, G.C. and Hsieh, C.H., 2013. Copepod community growth rates in relation to body size, temperature, and food availability in the East China Sea: a test of metabolic theory of ecology. Biogeosciences, 10(3), pp.1877-1892.</t>
  </si>
  <si>
    <t>growth rate and feeding</t>
  </si>
  <si>
    <t>Koski, M., Swalethorp, R., Kjellerup, S. and Nielsen, T.G., 2021. Aggregate-colonizing copepods in a glacial fjord: Population dynamics, vertical distribution and allometric scaling of growth and mortality rates of Microsetella norvegica and Oncaea spp. Progress in Oceanography, 197, p.102670.</t>
  </si>
  <si>
    <t>Formula for a capsule — a cylinder with two hemispherical end caps</t>
  </si>
  <si>
    <t>vi​=34π​(2⟨wi​⟩​)3+π(2⟨wi​⟩​)2(Li​−⟨wi​⟩)</t>
  </si>
  <si>
    <t>Shimaya, T., Okura, R., Wakamoto, Y. and Takeuchi, K.A., 2021. Scale invariance of cell size fluctuations in starving bacteria. Communications Physics, 4(1), p.238.</t>
  </si>
  <si>
    <t>capsule formula for volume</t>
  </si>
  <si>
    <t>scale invariance of cell size</t>
  </si>
  <si>
    <t>Luan, L., Jiang, Y., Cheng, M., Dini-Andreote, F., Sui, Y., Xu, Q., Geisen, S. and Sun, B., 2020. Organism body size structures the soil microbial and nematode community assembly at a continental and global scale. Nature communications, 11(1), p.6406.</t>
  </si>
  <si>
    <t>Kiełbasa, A., Walczyńska, A., Fiałkowska, E., Pajdak‐Stós, A. and Kozłowski, J., 2014. Seasonal changes in the body size of two rotifer species living in activated sludge follow the Temperature‐Size Rule. Ecology and Evolution, 4(24), pp.4678-4689.</t>
  </si>
  <si>
    <t>temperature-size -rule</t>
  </si>
  <si>
    <t>body area used as proxy, derived from ImageJ</t>
  </si>
  <si>
    <t>Harris, L.K. and Theriot, J.A., 2018. Surface area to volume ratio: a natural variable for bacterial morphogenesis. Trends in microbiology, 26(10), pp.815-832.</t>
  </si>
  <si>
    <t>Norland et al. 1993</t>
  </si>
  <si>
    <t>Shimaya et al. 2022</t>
  </si>
  <si>
    <t>Norland, S., 2018. Section BiomassThe Relationship Between Biomass and Volume of Bacteria. In Handbook of methods in aquatic microbial ecology (pp. 303-307). CRC press.</t>
  </si>
  <si>
    <t>Protoceratiumreticulatum</t>
  </si>
  <si>
    <t>Bellerocheamalleus</t>
  </si>
  <si>
    <t>Barton, A.D., Finkel, Z.V., Ward, B.A., Johns, D.G. and Follows, M.J., 2013. On the roles of cell size and trophic strategy in North Atlantic diatom and dinoflagellate communities. Limnology and Oceanography, 58(1), pp.254-266.</t>
  </si>
  <si>
    <t>Dinoflagellates</t>
  </si>
  <si>
    <t>Diatoms</t>
  </si>
  <si>
    <t>Barton et al. 2013</t>
  </si>
  <si>
    <t>in tab 1</t>
  </si>
  <si>
    <t xml:space="preserve">Thalassiosira hispida </t>
  </si>
  <si>
    <t xml:space="preserve">Pseudo-nitzschia sp. </t>
  </si>
  <si>
    <t xml:space="preserve">Cylindrotheca closterium </t>
  </si>
  <si>
    <t xml:space="preserve">Skeletonema costatum </t>
  </si>
  <si>
    <t>Diatom, alive</t>
  </si>
  <si>
    <t>Diatom, fixed</t>
  </si>
  <si>
    <t>Rodríguez-Gómez et al. 2016</t>
  </si>
  <si>
    <t>Rodríguez-Gómez, C.F. and Aké-Castillo, J.A., 2016. Calculation of the cell carbon content of four taxa of diatom: biovolume and spectrophotometry. Hidrobiológica, 26(2), pp.251-257.</t>
  </si>
  <si>
    <t>Watson et al. 1977; Bolter et al. 2002</t>
  </si>
  <si>
    <t>Bacteria, acridine orange stained cells</t>
  </si>
  <si>
    <t>\(C_c = 120 \times V^{0.72}\)</t>
  </si>
  <si>
    <t>Saccà, A., 2017. Methods for the estimation of the biovolume of microorganisms: A critical review. Limnology and Oceanography: Methods, 15(4), pp.337-348.</t>
  </si>
  <si>
    <t>Data used for figure 1 (summary of tab 1 data)</t>
  </si>
  <si>
    <t>Yvon-Durocher, G. and Allen, A.P., 2012. Linking community size structure and ecosystem functioning using metabolic theory. Philosophical Transactions of the Royal Society B: Biological Sciences, 367(1605), pp.2998-3007.</t>
  </si>
  <si>
    <r>
      <t>µgC/µm</t>
    </r>
    <r>
      <rPr>
        <vertAlign val="superscript"/>
        <sz val="6"/>
        <color theme="0"/>
        <rFont val="Arial"/>
        <family val="2"/>
      </rPr>
      <t>3</t>
    </r>
  </si>
  <si>
    <t>Nanophytoplankton</t>
  </si>
  <si>
    <t>Microphytoplankton</t>
  </si>
  <si>
    <t>Nanozooplankton</t>
  </si>
  <si>
    <t>Microzooplankton</t>
  </si>
  <si>
    <t>unicellular eukaryotes</t>
  </si>
  <si>
    <t>Koski et al. 2021</t>
  </si>
  <si>
    <t>Scale invariance of cell size</t>
  </si>
  <si>
    <t>Shimaya et al. 2021</t>
  </si>
  <si>
    <r>
      <t>Ikeda</t>
    </r>
    <r>
      <rPr>
        <sz val="10"/>
        <rFont val="Arial"/>
        <family val="2"/>
      </rPr>
      <t xml:space="preserve"> et al. 2001</t>
    </r>
  </si>
  <si>
    <r>
      <t xml:space="preserve">Lynch et al. 2023; Zubkov 2014; Reiss and Schmid-Araya 2010; Müller &amp; Geller </t>
    </r>
    <r>
      <rPr>
        <sz val="10"/>
        <rFont val="Arial"/>
        <family val="2"/>
      </rPr>
      <t>1993</t>
    </r>
    <r>
      <rPr>
        <sz val="10"/>
        <color rgb="FF00000A"/>
        <rFont val="Arial"/>
        <family val="2"/>
      </rPr>
      <t>, Fenchel 1977, Finlay 1968</t>
    </r>
  </si>
  <si>
    <r>
      <t>(</t>
    </r>
    <r>
      <rPr>
        <i/>
        <sz val="10"/>
        <color rgb="FF00000A"/>
        <rFont val="Arial"/>
        <family val="2"/>
      </rPr>
      <t>r</t>
    </r>
    <r>
      <rPr>
        <sz val="10"/>
        <color rgb="FF00000A"/>
        <rFont val="Arial"/>
        <family val="2"/>
      </rPr>
      <t xml:space="preserve"> max)</t>
    </r>
  </si>
  <si>
    <t>Respiration</t>
  </si>
  <si>
    <t>Mortality</t>
  </si>
  <si>
    <t>Growth</t>
  </si>
  <si>
    <t>Makarieva, A.M., Gorshkov, V.G., Li, B.L., Chown, S.L., Reich, P.B. and Gavrilov, V.M., 2008. Mean mass-specific metabolic rates are strikingly similar across life's major domains: evidence for life's metabolic optimum. Proceedings of the National Academy of Sciences, 105(44), pp.16994-16999.</t>
  </si>
  <si>
    <t>Savage, V.M., Gillooly, J.F., Brown, J.H., West, G.B. and Charnov, E.L., 2004. Effects of body size and temperature on population growth. The American Naturalist, 163(3), pp.429-441.</t>
  </si>
  <si>
    <t>Fenchel 1968; Finlay 1977; Makarieva et al. 2008; DeLong et al. 2010</t>
  </si>
  <si>
    <t>Rose et al. 2007, DeLong et al. 2010</t>
  </si>
  <si>
    <t>Banas &amp; Campbell 2016; DeLong et al. 2010</t>
  </si>
  <si>
    <t>Lin et al. 2013; Koski et al. 2021; Savage et al. 2004; DeLong et al. 2010</t>
  </si>
  <si>
    <t>Flores et al. 2016</t>
  </si>
  <si>
    <r>
      <t>L in µm; DW(µg)=4.9*10</t>
    </r>
    <r>
      <rPr>
        <vertAlign val="superscript"/>
        <sz val="6"/>
        <color rgb="FF000000"/>
        <rFont val="Arial"/>
        <family val="2"/>
      </rPr>
      <t>-8</t>
    </r>
    <r>
      <rPr>
        <sz val="6"/>
        <color rgb="FF000000"/>
        <rFont val="Arial"/>
        <family val="2"/>
      </rPr>
      <t>*L(µm)</t>
    </r>
    <r>
      <rPr>
        <vertAlign val="superscript"/>
        <sz val="6"/>
        <color rgb="FF000000"/>
        <rFont val="Arial"/>
        <family val="2"/>
      </rPr>
      <t>2.75</t>
    </r>
  </si>
  <si>
    <t>'</t>
  </si>
  <si>
    <r>
      <t xml:space="preserve">Copepod </t>
    </r>
    <r>
      <rPr>
        <i/>
        <sz val="6"/>
        <color rgb="FF000000"/>
        <rFont val="Arial"/>
        <family val="2"/>
      </rPr>
      <t>Cyclops viridis</t>
    </r>
    <r>
      <rPr>
        <sz val="6"/>
        <color rgb="FF000000"/>
        <rFont val="Arial"/>
        <family val="2"/>
      </rPr>
      <t xml:space="preserve"> (Jurine)</t>
    </r>
  </si>
  <si>
    <t>Watson, S.W., Novitsky, T.J., Quinby, H.L. and Valois, F.W., 1977. Determination of bacterial number and biomass in the marine environment. Applied and Environmental Microbiology, 33(4), pp.940-946.</t>
  </si>
  <si>
    <t>Bratbak, G., 1985. Bacterial biovolume and biomass estimations. Applied and environmental microbiology, 49(6), pp.1488-1493.</t>
  </si>
  <si>
    <t>Bratbak, G., and Dundas, I. A. N. (1984). Bacterial dry matter content and biomass estimations. Appl. Environ. Microbiol. 48, 755–757. doi: 10.1128/aem.48.4.755-757.1984.</t>
  </si>
  <si>
    <t>Chen, B., Montagnes, D. J. S., Wang, Q., Liu, H., &amp; Menden-Deuer, S. (2023). Partitioning the Apparent Temperature Sensitivity into Withinand Across-Taxa Responses: Revisiting the Difference between Autotrophic and Heterotrophic Protists. American Naturalist, 201(4), 610–618. https://doi.org/10.1086/723243/ASSET/IMAGES/LARGE/FG3.JPEG</t>
  </si>
  <si>
    <t>Edwards, K. F., Li, Q., &amp; Steward, G. F. (2023). Ingestion kinetics of mixotrophic and heterotrophic flagellates. Limnology and Oceanography, 68(4), 917–927. https://doi.org/10.1002/LNO.12320</t>
  </si>
  <si>
    <t>Fenchel, T., &amp; Finlay, B. J. (1983). Respiration rates in heterotrophic, free-living protozoa. Microbial Ecology, 9(2), 99–122. https://doi.org/10.1007/BF02015125</t>
  </si>
  <si>
    <t>Rose, J. M., &amp; Caron, D. A. (2007). Does low temperature constrain the growth rates of heterotrophic protists? Evidence and implications for algal blooms in cold waters. Limnology and Oceanography, 52(2), 886–895. https://doi.org/10.4319/LO.2007.52.2.0886;CTYPE:STRING:JOURNAL</t>
  </si>
  <si>
    <t>Uiterwaal, S. F., Lagerstrom, I. T., Lyon, S. R., &amp; DeLong, J. P. (2022). FoRAGE database: A compilation of functional responses for consumers and parasitoids. Ecology, 103(7), e3706. https://doi.org/10.1002/ECY.3706;PAGE:STRING:ARTICLE/CHAPTER</t>
  </si>
  <si>
    <t>Velho Rodrigues, M. F., Lisicki, M., &amp; Lauga, E. (2021). The bank of swimming organisms at the micron scale (BOSO-Micro). PLoS ONE, 16(6 June). https://doi.org/10.1371/journal.pone.0252291</t>
  </si>
  <si>
    <r>
      <t>pgC/µm</t>
    </r>
    <r>
      <rPr>
        <vertAlign val="superscript"/>
        <sz val="6"/>
        <rFont val="Arial"/>
        <family val="2"/>
      </rPr>
      <t>3</t>
    </r>
    <r>
      <rPr>
        <sz val="6"/>
        <rFont val="Arial"/>
        <family val="2"/>
      </rPr>
      <t xml:space="preserve"> for the example size and shape</t>
    </r>
  </si>
  <si>
    <t>Carbonpg/ind.</t>
  </si>
  <si>
    <t>Carbon fg/ind.</t>
  </si>
  <si>
    <t>Worked example dimensions</t>
  </si>
  <si>
    <t>Equation specific factor or value</t>
  </si>
  <si>
    <t>Carbon microg/ind.</t>
  </si>
  <si>
    <t>Carbon ng/ind.</t>
  </si>
  <si>
    <t>a pure-carbon object is ~2.3 pgC/µm³ (graphite density 2.26 g cm⁻³ = 2.26 pg µm⁻³ = 2,260 fg µm⁻³)</t>
  </si>
  <si>
    <t>pure carbon sphere</t>
  </si>
  <si>
    <t xml:space="preserve">Spirostomum ambiguum </t>
  </si>
  <si>
    <t>Ceratium fusus</t>
  </si>
  <si>
    <t>Ceratium furca</t>
  </si>
  <si>
    <t>Ceratium lineatum</t>
  </si>
  <si>
    <t>Ceratium tripos</t>
  </si>
  <si>
    <t>Ceratium macroceros</t>
  </si>
  <si>
    <t>Ceratium horridum</t>
  </si>
  <si>
    <t>Ceratium longipes</t>
  </si>
  <si>
    <t>Ceratium arcticum</t>
  </si>
  <si>
    <t>Ceratium kofoidii</t>
  </si>
  <si>
    <t>Pyrophacus spp.</t>
  </si>
  <si>
    <t>Ceratium falcatum</t>
  </si>
  <si>
    <t>Amphisolenia spp.</t>
  </si>
  <si>
    <t>Ceratium arietinum</t>
  </si>
  <si>
    <t>Ceratium azoricum</t>
  </si>
  <si>
    <t>Ceratium belone</t>
  </si>
  <si>
    <t>Ceratium bucephalum</t>
  </si>
  <si>
    <t>Ceratium buceros</t>
  </si>
  <si>
    <t>Ceratium candelabrum</t>
  </si>
  <si>
    <t>Ceratium carriense</t>
  </si>
  <si>
    <t>Ceratium compressum</t>
  </si>
  <si>
    <t>Ceratium declinatum</t>
  </si>
  <si>
    <t>Ceratium extensum</t>
  </si>
  <si>
    <t>Ceratium gibberum</t>
  </si>
  <si>
    <t>Ceratium hexacanthum</t>
  </si>
  <si>
    <t>Ceratium inflatum</t>
  </si>
  <si>
    <t>Ceratium karstenii</t>
  </si>
  <si>
    <t>Ceratium lamellicorne</t>
  </si>
  <si>
    <t>Ceratium massiliense</t>
  </si>
  <si>
    <t>Ceratium minutum</t>
  </si>
  <si>
    <t>Ceratium pentagonum</t>
  </si>
  <si>
    <t>Ceratium petersii</t>
  </si>
  <si>
    <t>Ceratium platycorne</t>
  </si>
  <si>
    <t>Ceratium praelongum</t>
  </si>
  <si>
    <t>Ceratium pulchellum</t>
  </si>
  <si>
    <t>Ceratium setaceum</t>
  </si>
  <si>
    <t>Ceratium teres</t>
  </si>
  <si>
    <t>Ceratium trichoceros</t>
  </si>
  <si>
    <t>Ceratium vultur</t>
  </si>
  <si>
    <t>Ceratocorys spp.</t>
  </si>
  <si>
    <t>Cladopyxis spp.</t>
  </si>
  <si>
    <t>Dinophysis spp.</t>
  </si>
  <si>
    <t>Exuviaella spp.</t>
  </si>
  <si>
    <t>Gonyaulax spp.</t>
  </si>
  <si>
    <t>Oxytoxum spp.</t>
  </si>
  <si>
    <t>Protoperidinium spp.</t>
  </si>
  <si>
    <t>Podolampas spp.</t>
  </si>
  <si>
    <t>Pronoctiluca pelagica</t>
  </si>
  <si>
    <t>Prorocentrum spp.</t>
  </si>
  <si>
    <t>Ceratium falcatiforme</t>
  </si>
  <si>
    <t>Ceratium longirostrum</t>
  </si>
  <si>
    <t>Paralias ulcata</t>
  </si>
  <si>
    <t>Thalassiosira spp.</t>
  </si>
  <si>
    <t>Dactyliosolen antarcticus</t>
  </si>
  <si>
    <t>Dactyliosolen mediterraneus</t>
  </si>
  <si>
    <t>Rhizosolenia imbricatashrubsolei</t>
  </si>
  <si>
    <t>Rhizosolenia styliformis</t>
  </si>
  <si>
    <t>Rhizosolenia hebetatasemispina</t>
  </si>
  <si>
    <t>Rhizosolenia alataindica</t>
  </si>
  <si>
    <t>Rhizosolenia alataalata</t>
  </si>
  <si>
    <t>Rhizosolenia alatainermis</t>
  </si>
  <si>
    <t>Chaetoceros(Hyalochaete) spp.</t>
  </si>
  <si>
    <t>Chaetoceros(Phaeoceros) spp.</t>
  </si>
  <si>
    <t>Biddulphias inensis</t>
  </si>
  <si>
    <t>Asterionella glacialis</t>
  </si>
  <si>
    <t>Thalassiothrix longissima</t>
  </si>
  <si>
    <t>Nitzschia seriata</t>
  </si>
  <si>
    <t>Nitzschia delicatissima</t>
  </si>
  <si>
    <t>Actinoptychus spp.</t>
  </si>
  <si>
    <t>Asteromphalus spp.</t>
  </si>
  <si>
    <t>Bacillaria paxillifer</t>
  </si>
  <si>
    <t>Bacteria strumspp.</t>
  </si>
  <si>
    <t>Biddulphia alternans</t>
  </si>
  <si>
    <t>Biddulphia aurita</t>
  </si>
  <si>
    <t>Biddulphia granulata</t>
  </si>
  <si>
    <t>Biddulphia regia</t>
  </si>
  <si>
    <t>Biddulphia rhombus</t>
  </si>
  <si>
    <t>Cerataulina pelagica</t>
  </si>
  <si>
    <t>Climacodium frauenfeldianum</t>
  </si>
  <si>
    <t>Corethron criophilum</t>
  </si>
  <si>
    <t>Coscinodiscus concinnus</t>
  </si>
  <si>
    <t>Coscinodiscus spp.</t>
  </si>
  <si>
    <t>Detonula confervacea</t>
  </si>
  <si>
    <t>Ditylum brightwellii</t>
  </si>
  <si>
    <t>Eucampia zodiacus</t>
  </si>
  <si>
    <t>Fragilaria spp.</t>
  </si>
  <si>
    <t>Guinardia flaccida</t>
  </si>
  <si>
    <t>Gyrosigma spp.</t>
  </si>
  <si>
    <t>Hemiaulus spp.</t>
  </si>
  <si>
    <t>Lauderia borealis</t>
  </si>
  <si>
    <t>Leptocylindrus danicus</t>
  </si>
  <si>
    <t>Navicula spp.</t>
  </si>
  <si>
    <t>Nitzschia closterium</t>
  </si>
  <si>
    <t>Rhaphoneis amphiceros</t>
  </si>
  <si>
    <t>Stauroneis membranacea</t>
  </si>
  <si>
    <t>Asterionell akariana</t>
  </si>
  <si>
    <t>Odontella mobiliensis</t>
  </si>
  <si>
    <t>Nitzschia spp.</t>
  </si>
  <si>
    <t>Surirella spp.</t>
  </si>
  <si>
    <t>Streptothe catamesis</t>
  </si>
  <si>
    <t>Stephanopyxis spp.</t>
  </si>
  <si>
    <t>Schroederella delicatula</t>
  </si>
  <si>
    <t>Rhizosolenia stolterfothii</t>
  </si>
  <si>
    <t>Rhizosolenia setigera</t>
  </si>
  <si>
    <t>Rhizosolenia fragilissima</t>
  </si>
  <si>
    <t>Rhizosolenia delicatula</t>
  </si>
  <si>
    <t>Rhizosolenia calcaravis</t>
  </si>
  <si>
    <t>Rhizosolenia bergonii</t>
  </si>
  <si>
    <t>Rhizosolenia acuminata</t>
  </si>
  <si>
    <t>Planktoniella sol</t>
  </si>
  <si>
    <t>Forster, J., Hirst, A.G. and Atkinson, D. (2012). Warming-induced reductions in body size are greater in aquatic than terrestrial species. Proc. Natl. Acad. Sci. U. S. A., 109(47), 19310-19314. doi: 10.1073/pnas.1210460109</t>
  </si>
  <si>
    <r>
      <t xml:space="preserve">great dataset for </t>
    </r>
    <r>
      <rPr>
        <b/>
        <sz val="9"/>
        <color theme="1"/>
        <rFont val="Arial"/>
        <family val="2"/>
      </rPr>
      <t>soil organisms</t>
    </r>
  </si>
  <si>
    <t>Virus</t>
  </si>
  <si>
    <t>Flagellate</t>
  </si>
  <si>
    <t>d) one-pass factor from volume in nL to microg C *****</t>
  </si>
  <si>
    <t>not included in analysis</t>
  </si>
  <si>
    <t>Protozoan</t>
  </si>
  <si>
    <t>Amoebas</t>
  </si>
  <si>
    <t>Navicula grevillei</t>
  </si>
  <si>
    <t>Colurella colurus</t>
  </si>
  <si>
    <t>Copepoda</t>
  </si>
  <si>
    <t>Navicula gregaria</t>
  </si>
  <si>
    <t>Brachionus rubens</t>
  </si>
  <si>
    <t>Brachionus calicyfiorus</t>
  </si>
  <si>
    <t>Micro-metazoans, crustaceans</t>
  </si>
  <si>
    <t>Oithona davisae</t>
  </si>
  <si>
    <t>Amoeba proteus</t>
  </si>
  <si>
    <t>micro-metazoan</t>
  </si>
  <si>
    <t>Hatton, I.A., Dobson, A.P., Storch, D., Galbraith, E.D. and Loreau, M. (2019). Linking scaling laws across eukaryotes. Proceedings of the National Academy of Sciences, 116(43), 21616-21622. doi: 10.1073/pnas.1900492116</t>
  </si>
  <si>
    <t>Zheng, X., Guo, X., Lin, X. and Huang, L., 2025. Contrasting patterns in diversity and community assembly of bacterioplankton and three size fractions of protists in the South China Sea. Applied and Environmental Microbiology, 91(7), pp.e00436-25.</t>
  </si>
  <si>
    <t>ESD</t>
  </si>
  <si>
    <t>1ng unit not given but must be carbon</t>
  </si>
  <si>
    <t>Cyanobacteria</t>
  </si>
  <si>
    <t>Letcher, P.M., Vélez, C.G., Barrantes, M.E., Powell, M.J., Churchill, P.F. and Wakefield, W.S., 2008. Ultrastructural and molecular analyses of Rhizophydiales (Chytridiomycota) isolates from North America and Argentina. mycological research, 112(7), pp.759-782.</t>
  </si>
  <si>
    <t>fungi sizes and photos</t>
  </si>
  <si>
    <t>82 nm; molecular weight of 99 × 10power6</t>
  </si>
  <si>
    <t>Dalton. 1 D =  1.6605E-24 g</t>
  </si>
  <si>
    <t>95 microm; biovolume in microm3</t>
  </si>
  <si>
    <t>smallest cell possible</t>
  </si>
  <si>
    <t>Value to use for list</t>
  </si>
  <si>
    <t>comment</t>
  </si>
  <si>
    <t>data not used as soil</t>
  </si>
  <si>
    <t>Mesoplankton (0.2 mm to 20 mm): Drifting animals and plants that are typically visible to the naked eye. This category is dominated by larger zooplankton like copepods, krill, and arrow worms, which act as crucial grazers on smaller plankton. [1, 2, 3, 4, 5]</t>
  </si>
  <si>
    <t>Macroplankton (2 cm to 20 cm): Much larger floating or weakly swimming organisms. Typical examples include larger gelatinous animals like jellyfish, ctenophores, and larger crustaceans</t>
  </si>
  <si>
    <t>Nanoplankton (2 to 20 μ m): Very small, largely microscopic organisms. This group includes many types of single-celled algae, diatoms, and small flagellates that form the base of many aquatic food webs. [1, 2, 3, 4, 5]</t>
  </si>
  <si>
    <t>Microplankton (20 to 200 μ m): Small drifting organisms that can be seen under a standard light microscope. It is heavily composed of large diatoms, dinoflagellates, and tiny animal-like protozoans or small zooplankton (such as ciliates). [1, 2, 3]</t>
  </si>
  <si>
    <t>Macrofauna: Fauna in or on sediment. Generally larger than 0.5 mm to 1 mm, extending up to several centimetres. In studies, they are defined as the animals retained on a standard 0.5 mm or 1 mm mesh sieve</t>
  </si>
  <si>
    <t>Meiofauna: fauna in or on sediment. Typically between 40 μm and 1 mm. In practical field research, they are operationally defined as organisms that pass through a 1 mm or 0.5 mm sieve but are caught by a finer mesh sieve (around 40 μm)</t>
  </si>
  <si>
    <t>Ångstrom: 1 Ångstrom = 0.1nm</t>
  </si>
  <si>
    <t>smallest macrofauna by definition</t>
  </si>
  <si>
    <t>V = 4/3 πr³</t>
  </si>
  <si>
    <t>V = 4/3 πr³ + πr²h</t>
  </si>
  <si>
    <t>V = 4/3 πabc</t>
  </si>
  <si>
    <t>V = 1/6 πr²h</t>
  </si>
  <si>
    <t>V = πr²h</t>
  </si>
  <si>
    <t>V = 4/3 πb²a</t>
  </si>
  <si>
    <t>prolate spheroid = elongated ellipsoid</t>
  </si>
  <si>
    <t>Leblanc, K et al. (2012): Global distributions of diatoms abundance, biovolume and biomass - Gridded data product (NetCDF) - Contribution to the MAREDAT World Ocean Atlas of Plankton Functional Types</t>
  </si>
  <si>
    <t>Dryad | Data: Data of cell size, cell carbon content, and biomass of dinoflagellates and diatoms in the oceanic ecosystem of the Southern Gulf of Mexico</t>
  </si>
  <si>
    <t>V = 4/3 πL/2W/2d/2</t>
  </si>
  <si>
    <t>Volume (V) equation for L, W, d and h</t>
  </si>
  <si>
    <t>V = πr²L</t>
  </si>
  <si>
    <t>V = π/6 W²L</t>
  </si>
  <si>
    <t>V = 1/6 πr²L</t>
  </si>
  <si>
    <t>V = π/6 abc</t>
  </si>
  <si>
    <t>V = π/4 * W2 * L</t>
  </si>
  <si>
    <t>FW g</t>
  </si>
  <si>
    <t>capsule</t>
  </si>
  <si>
    <t>Volume (V) equation for L, W, d and h; shorter form</t>
  </si>
  <si>
    <t>Hatton et al. 2019</t>
  </si>
  <si>
    <t>largest macro (crayfish)</t>
  </si>
  <si>
    <t>Literature equations (for source see tab 8) that can be used to estimate body size (volume and weight) for different groups of organisms. Worked examples are given for an individual that is either 0.05, 1, 50 or 500 µm long to compare the equations for a given group.  L=length, W=width, V=Volume, ρ=density, DW=dry weight, FW=fresh weight, CW=carbon weight, gC=gram carbon. 1fL=1µm3. Note that pgC/µm3 is a way to compare the equations as it is a volume corrected value and cannot take a value of more than 550 for any organism (as they cannot weight more than pure carbon).</t>
  </si>
  <si>
    <t>Literature that shows allometry of the small (source see tab 8)</t>
  </si>
  <si>
    <t>750</t>
  </si>
  <si>
    <t>200,000,000</t>
  </si>
  <si>
    <t>160×50b</t>
  </si>
  <si>
    <t>1,000,000</t>
  </si>
  <si>
    <t>43×30b</t>
  </si>
  <si>
    <t>40,000</t>
  </si>
  <si>
    <t>80×8b</t>
  </si>
  <si>
    <t>30</t>
  </si>
  <si>
    <t>14,000</t>
  </si>
  <si>
    <t>14×30</t>
  </si>
  <si>
    <t>3,500</t>
  </si>
  <si>
    <t>18</t>
  </si>
  <si>
    <t>3,000</t>
  </si>
  <si>
    <t>Archaea</t>
  </si>
  <si>
    <t>15</t>
  </si>
  <si>
    <t>1800</t>
  </si>
  <si>
    <t>5×30</t>
  </si>
  <si>
    <t>600</t>
  </si>
  <si>
    <t>2×10</t>
  </si>
  <si>
    <t>1×2</t>
  </si>
  <si>
    <t>2</t>
  </si>
  <si>
    <t>0.2</t>
  </si>
  <si>
    <t>0.005</t>
  </si>
  <si>
    <t>0.2×0.08</t>
  </si>
  <si>
    <t>0.003</t>
  </si>
  <si>
    <t xml:space="preserve">Bacteria </t>
  </si>
  <si>
    <t>Beggiatoa spp.</t>
  </si>
  <si>
    <t>Thioploca araucae</t>
  </si>
  <si>
    <t>Prochloron sp.</t>
  </si>
  <si>
    <t>Macromonas mobilis</t>
  </si>
  <si>
    <t>Thiovulum majus</t>
  </si>
  <si>
    <t>Titanospirillum velox</t>
  </si>
  <si>
    <t>Magnetobacterium bavaricum</t>
  </si>
  <si>
    <t>Escherichia coli</t>
  </si>
  <si>
    <t>Mycoplasma pneumoniae</t>
  </si>
  <si>
    <t>Thermodiscus sp.</t>
  </si>
  <si>
    <t>Lyngbya majuscula</t>
  </si>
  <si>
    <t>Acanthodasys aculeatus</t>
  </si>
  <si>
    <t>Acanthodasys cf caribbeanensis</t>
  </si>
  <si>
    <t>Aspidiophorus marinus</t>
  </si>
  <si>
    <t>Aspidiophorus mediterraneus</t>
  </si>
  <si>
    <t>Aspidiophorus n.sp.</t>
  </si>
  <si>
    <t>Aspidiophorus paramediterraneus</t>
  </si>
  <si>
    <t>Aspidiophorus tentaculatus</t>
  </si>
  <si>
    <t>Cephalodasys maximus</t>
  </si>
  <si>
    <t xml:space="preserve">Cephalodasys n.sp.1It </t>
  </si>
  <si>
    <t>Cephalodasys sp.2It</t>
  </si>
  <si>
    <t>Cephalodasys turbanelloides</t>
  </si>
  <si>
    <t>Chaetonotus aegilonensis</t>
  </si>
  <si>
    <t xml:space="preserve">Chaetonotus apechochaetus </t>
  </si>
  <si>
    <t>Chaetonotus atrox</t>
  </si>
  <si>
    <t>Chaetonotus dispar</t>
  </si>
  <si>
    <t>Chaetonotus inaequidentatus</t>
  </si>
  <si>
    <t>Chaetonotus n.sp. 1It</t>
  </si>
  <si>
    <t>Chaetonotus n.sp. 2It</t>
  </si>
  <si>
    <t>Chaetonotus n.sp. 3It</t>
  </si>
  <si>
    <t xml:space="preserve">Chaetonotus neptuni </t>
  </si>
  <si>
    <t xml:space="preserve">Chaetonotus siciliensis </t>
  </si>
  <si>
    <t>Chaetonotus sp.1S</t>
  </si>
  <si>
    <t>Chaetonotus tempestivus</t>
  </si>
  <si>
    <t xml:space="preserve">Chaetonotus variosquamatus </t>
  </si>
  <si>
    <t>Crasiella diplura</t>
  </si>
  <si>
    <t>Crasiella n.sp.It</t>
  </si>
  <si>
    <t>Dactylopodola typhle</t>
  </si>
  <si>
    <t>Dinodasys mirabilis</t>
  </si>
  <si>
    <t xml:space="preserve">Diplodasys ankeli </t>
  </si>
  <si>
    <t>Diplodasys sanctaemariae</t>
  </si>
  <si>
    <t xml:space="preserve">Dolichodasys elongatus </t>
  </si>
  <si>
    <t>Hachaetonotus aculifer</t>
  </si>
  <si>
    <t>Hachaetonotus atlanticus</t>
  </si>
  <si>
    <t xml:space="preserve">Halichaetonotus euromarinus </t>
  </si>
  <si>
    <t>Halichaetonotus n.sp.It</t>
  </si>
  <si>
    <t>Halichaetonotus paradoxus</t>
  </si>
  <si>
    <t>Halichaetonotus somniculosus</t>
  </si>
  <si>
    <t>Halichaetontous sp.1S</t>
  </si>
  <si>
    <t>Halichaetontous sp.2S</t>
  </si>
  <si>
    <t>Halichetonotus euromarinus</t>
  </si>
  <si>
    <t>Halichetonotus margaretae</t>
  </si>
  <si>
    <t>Heterolepidoderma n.sp.It</t>
  </si>
  <si>
    <t>Heteroxenotrichula n.sp.It</t>
  </si>
  <si>
    <t xml:space="preserve">Heteroxenotrichula pygmaea </t>
  </si>
  <si>
    <t>Lepidodasys martini</t>
  </si>
  <si>
    <t xml:space="preserve">Lepidodasys martini </t>
  </si>
  <si>
    <t>Lepidodasys n.sp.It</t>
  </si>
  <si>
    <t>Lepidodasys platyurus</t>
  </si>
  <si>
    <t>Lepidodasys sp. 1S</t>
  </si>
  <si>
    <t xml:space="preserve">Lepidodasys unicarenatus </t>
  </si>
  <si>
    <t>Macrodasys n.sp.1It</t>
  </si>
  <si>
    <t>Macrodasys sp. 2It</t>
  </si>
  <si>
    <t>Macrodasys sp.1S</t>
  </si>
  <si>
    <t>Macrodasys sp.2S</t>
  </si>
  <si>
    <t>Macrodasys sp.3S</t>
  </si>
  <si>
    <t>Megadasys n.sp.It</t>
  </si>
  <si>
    <t>Megadasys sp1-krist</t>
  </si>
  <si>
    <t xml:space="preserve">Mesodasys laticaudatus </t>
  </si>
  <si>
    <t xml:space="preserve">Musellifer delamarei </t>
  </si>
  <si>
    <t>n.g.1 n.sp.2S</t>
  </si>
  <si>
    <t>n.gen.1 n.sp.1 It Dendro</t>
  </si>
  <si>
    <t>n.gen.1 n.sp.1It Macro</t>
  </si>
  <si>
    <t>Oregodasys ocellatus</t>
  </si>
  <si>
    <t>Paradasys n.sp.It</t>
  </si>
  <si>
    <t>Paradasys subterraneus</t>
  </si>
  <si>
    <t>Paratubanella n.sp.It</t>
  </si>
  <si>
    <t>Paraturbanella dohrni</t>
  </si>
  <si>
    <t xml:space="preserve">Paraturbanella pallida </t>
  </si>
  <si>
    <t>Paraturbanella sp1</t>
  </si>
  <si>
    <t xml:space="preserve">Paraturbanella teissieri </t>
  </si>
  <si>
    <t>Ptychostomella mediterranea</t>
  </si>
  <si>
    <t>Ptychostomella n.sp.</t>
  </si>
  <si>
    <t>Tetranchyoderma thysanophorum</t>
  </si>
  <si>
    <t>Tetranchyroderma aapton</t>
  </si>
  <si>
    <t xml:space="preserve">Tetranchyroderma cirrophorum </t>
  </si>
  <si>
    <t xml:space="preserve">Tetranchyroderma heterotubulatum </t>
  </si>
  <si>
    <t xml:space="preserve">Tetranchyroderma hirtum </t>
  </si>
  <si>
    <t>Tetranchyroderma inaequitubulatum</t>
  </si>
  <si>
    <t>Tetranchyroderma insulare</t>
  </si>
  <si>
    <t>Tetranchyroderma megastomum</t>
  </si>
  <si>
    <t>Tetranchyroderma n.sp.2It</t>
  </si>
  <si>
    <t xml:space="preserve">Tetranchyroderma quadritentaculatum </t>
  </si>
  <si>
    <t>Tetranchyroderma sp. 2S</t>
  </si>
  <si>
    <t>Tetranchyroderma sp.1It</t>
  </si>
  <si>
    <t>Tetranchyroderma suecica</t>
  </si>
  <si>
    <t>Tetranchyroderma symphorochetum</t>
  </si>
  <si>
    <t xml:space="preserve">Tetranchyroderma thysanogaster </t>
  </si>
  <si>
    <t xml:space="preserve">Thaumastoderma heideri </t>
  </si>
  <si>
    <t>Thaumastoderma mediterraneum</t>
  </si>
  <si>
    <t xml:space="preserve">Thaumastoderma moebjergi </t>
  </si>
  <si>
    <t>Turbanella cornuta</t>
  </si>
  <si>
    <t xml:space="preserve">Turbanella lutheri </t>
  </si>
  <si>
    <t>Urodasys apuliensis</t>
  </si>
  <si>
    <t xml:space="preserve">Urodasys mirabilis </t>
  </si>
  <si>
    <t>Urodasys sp3It</t>
  </si>
  <si>
    <t xml:space="preserve">Urodasys viviparus </t>
  </si>
  <si>
    <t xml:space="preserve">Xenotrichula puncata </t>
  </si>
  <si>
    <t xml:space="preserve">Aspelta clydona </t>
  </si>
  <si>
    <t xml:space="preserve">Brachionus ibericus </t>
  </si>
  <si>
    <t xml:space="preserve">Brachionus urceolaris </t>
  </si>
  <si>
    <t>Cephalodella sp.</t>
  </si>
  <si>
    <t xml:space="preserve">Colurella adriatica </t>
  </si>
  <si>
    <t>Colurella dicentra</t>
  </si>
  <si>
    <t xml:space="preserve">Colurella sp. </t>
  </si>
  <si>
    <t xml:space="preserve">Encentrum algente </t>
  </si>
  <si>
    <t>Encentrum bidentatum</t>
  </si>
  <si>
    <t>Encentrum limicola</t>
  </si>
  <si>
    <t>Encentrum marinum</t>
  </si>
  <si>
    <t>Encentrum sp.</t>
  </si>
  <si>
    <t xml:space="preserve">Encentrum sp. </t>
  </si>
  <si>
    <t>Eosphora ehrenbergi</t>
  </si>
  <si>
    <t xml:space="preserve">Lecane bulla </t>
  </si>
  <si>
    <t xml:space="preserve">Lepadella sp. </t>
  </si>
  <si>
    <t>Lindia gravitata</t>
  </si>
  <si>
    <t>Lindia tecusa</t>
  </si>
  <si>
    <t>Notholca bipalium/liepetterseni</t>
  </si>
  <si>
    <t>Proales halophila</t>
  </si>
  <si>
    <t>Proales reinhardti</t>
  </si>
  <si>
    <t>Proales similis</t>
  </si>
  <si>
    <t xml:space="preserve">Proales sp. </t>
  </si>
  <si>
    <t>Proales syltensis</t>
  </si>
  <si>
    <t>Rotaria laticeps</t>
  </si>
  <si>
    <t xml:space="preserve">Rotaria sp. </t>
  </si>
  <si>
    <t>Synchaeta baltica</t>
  </si>
  <si>
    <t>Synchaeta cecilia</t>
  </si>
  <si>
    <t>Synchaeta gyrina</t>
  </si>
  <si>
    <t>Synchaeta vorax</t>
  </si>
  <si>
    <t>Testudinella clypeata</t>
  </si>
  <si>
    <t>Testudinella elliptica</t>
  </si>
  <si>
    <t>Testudinella obscura</t>
  </si>
  <si>
    <t>Gastrotricha</t>
  </si>
  <si>
    <t>E.coli large</t>
  </si>
  <si>
    <t>Tisochrysis sp.</t>
  </si>
  <si>
    <t>G. oceanica + Tisochrysis sp.</t>
  </si>
  <si>
    <t>Spirostomum sp.</t>
  </si>
  <si>
    <t>mm</t>
  </si>
  <si>
    <t>Nanoneis haslea</t>
  </si>
  <si>
    <t>Diatoms, smallest</t>
  </si>
  <si>
    <t>Leblanc et al. 2012</t>
  </si>
  <si>
    <t>Tekwa et al. 2023</t>
  </si>
  <si>
    <t>Ethmodiscus spp.</t>
  </si>
  <si>
    <t>Diatoms, largest</t>
  </si>
  <si>
    <t xml:space="preserve">Linacre et al. 2021 </t>
  </si>
  <si>
    <t>Dinoflagellates, smallest</t>
  </si>
  <si>
    <t>pgC cell-1</t>
  </si>
  <si>
    <t>smallest</t>
  </si>
  <si>
    <t>largest</t>
  </si>
  <si>
    <t>Difflugia gigantea</t>
  </si>
  <si>
    <t>Galeripora arenaria compressa</t>
  </si>
  <si>
    <t>min and max shell length in microm</t>
  </si>
  <si>
    <t xml:space="preserve">Micro Body Size estimates from the literature (tab 8) showing the length and weight realms from viruses to micro-metazoans (and macrofauna as comparison). </t>
  </si>
  <si>
    <t>smallest in dataset</t>
  </si>
  <si>
    <t>largest in dataset</t>
  </si>
  <si>
    <t>Micrasterias rotata</t>
  </si>
  <si>
    <t xml:space="preserve">Plagiotropis sp. </t>
  </si>
  <si>
    <t>Dry Mass (mgx10-9)</t>
  </si>
  <si>
    <t>Pseudomonas sp.</t>
  </si>
  <si>
    <t>Forster et al. 2012</t>
  </si>
  <si>
    <t>Chen 2017 in DRYAD</t>
  </si>
  <si>
    <t>Chlorophyta</t>
  </si>
  <si>
    <t>Charophyta</t>
  </si>
  <si>
    <t>Chlorarachniophyta</t>
  </si>
  <si>
    <t>Cryptophyta</t>
  </si>
  <si>
    <t>Dinoflagellata</t>
  </si>
  <si>
    <t>Euglenozoa</t>
  </si>
  <si>
    <t>Haptophyta</t>
  </si>
  <si>
    <t>Ochrophyta</t>
  </si>
  <si>
    <t>Rhodophyta</t>
  </si>
  <si>
    <t>Chen et al. 2023; Chen 2017 in DRYAD</t>
  </si>
  <si>
    <t>Chen, B., Montagnes, D. J. S., Wang, Q., Liu, H., &amp; Menden-Deuer, S. (2023). Partitioning the Apparent Temperature Sensitivity into Withinand Across-Taxa Responses: Revisiting the Difference between Autotrophic and Heterotrophic Protists. American Naturalist, 201(4), 610–618. Chen data 2027 in DRYAD</t>
  </si>
  <si>
    <t>Triparma sp.</t>
  </si>
  <si>
    <t>Edwards &amp; Steward 2023</t>
  </si>
  <si>
    <t>Protoperidinium crassipes</t>
  </si>
  <si>
    <t>Fenchel &amp; Finlay 1983</t>
  </si>
  <si>
    <t>log10 cell volume</t>
  </si>
  <si>
    <t>Amoeba</t>
  </si>
  <si>
    <t>Makarieva, A. M., Gorshkov, V. G., Li, B. A., Chown, S. L., Reich, P. B., &amp; Gavrilov, V. M. (2008). Mean mass-specific metabolic rates are strikingly similar across life’s major domains: Evidence for life’s metabolic optimum. Proceedings of the National Academy of Sciences of the United States of America, 105(44), 16994–16999. https://doi.org/10.1073/PNAS.0802148105/SUPPL_FILE/0802148105SI.PDF</t>
  </si>
  <si>
    <t>Mpg: cell mass, pg ( 1 pg = 10−12 g).</t>
  </si>
  <si>
    <t>Makarieva et al. 2008</t>
  </si>
  <si>
    <t>Colpidium campylum</t>
  </si>
  <si>
    <t>Stentor coeruleus</t>
  </si>
  <si>
    <t>Pseudomonas fluo rescens</t>
  </si>
  <si>
    <t>large range of species</t>
  </si>
  <si>
    <t>Heterotrophic bacteria:</t>
  </si>
  <si>
    <t>Bacillus subtilis</t>
  </si>
  <si>
    <t>Bdellovibrio bacteriovorus</t>
  </si>
  <si>
    <t>Cupriavidus necator</t>
  </si>
  <si>
    <t>Paracoccus denitrificans</t>
  </si>
  <si>
    <t>Streptomyces coelicolor</t>
  </si>
  <si>
    <t>Cyanobacteria:</t>
  </si>
  <si>
    <t>Anabaena cylindrica</t>
  </si>
  <si>
    <t>Anabaena flos-aquae</t>
  </si>
  <si>
    <t>Anabaena spiroides</t>
  </si>
  <si>
    <t>Aphanizomenon flos-aquae</t>
  </si>
  <si>
    <t>Microcystis aeruginosa</t>
  </si>
  <si>
    <t>Prochlorococcus marinus</t>
  </si>
  <si>
    <t>Synechococcus sp.</t>
  </si>
  <si>
    <t>Rhodotorula rubra</t>
  </si>
  <si>
    <t>Ciliates:</t>
  </si>
  <si>
    <t>Coleps hirtus</t>
  </si>
  <si>
    <t>Colpidium striatum</t>
  </si>
  <si>
    <t>Halteria grandinella</t>
  </si>
  <si>
    <t>Loxodes striatus</t>
  </si>
  <si>
    <t>Paramecium bursaria</t>
  </si>
  <si>
    <t>Paramecium caudatum</t>
  </si>
  <si>
    <t>Stylonychia mytilus</t>
  </si>
  <si>
    <t>Tetrahymena hegewishi</t>
  </si>
  <si>
    <t>Tetrahymena malaccensis</t>
  </si>
  <si>
    <t>Tetrahymena pyriformis</t>
  </si>
  <si>
    <t>Tetrahymena thermophila</t>
  </si>
  <si>
    <t>Urocentrum turbo</t>
  </si>
  <si>
    <t>Uronema marinum</t>
  </si>
  <si>
    <t>Urotricha farcta</t>
  </si>
  <si>
    <t>Vorticella microstoma</t>
  </si>
  <si>
    <t>Ankistrodesmus falcatus</t>
  </si>
  <si>
    <t>Chlamydomonas reinhardtii</t>
  </si>
  <si>
    <t>Chlorella vulgaris</t>
  </si>
  <si>
    <t>Dunaliella tertiolecta</t>
  </si>
  <si>
    <t>Haematococcus lacustris</t>
  </si>
  <si>
    <t>Haematococcus pluvialis</t>
  </si>
  <si>
    <t>Micromonas pusilla</t>
  </si>
  <si>
    <t>Nannochloropsis gaditana</t>
  </si>
  <si>
    <t>Nannochloropsis oculata</t>
  </si>
  <si>
    <t>Oocystis marsonii</t>
  </si>
  <si>
    <t>Pseudokirchneriella subcapitata</t>
  </si>
  <si>
    <t>Scenedesmus obliquus</t>
  </si>
  <si>
    <t>Selenastrum capricornutum</t>
  </si>
  <si>
    <t>Tetraselmis suecica</t>
  </si>
  <si>
    <t>Acanthamoeba castellanii</t>
  </si>
  <si>
    <t>Hyalosphenia papilio</t>
  </si>
  <si>
    <t>Pelomyxa palustris</t>
  </si>
  <si>
    <t>Lynch et al. 2022</t>
  </si>
  <si>
    <t>V (µm3), i.e. V (fL) and ng DW</t>
  </si>
  <si>
    <t>Hauer, F.R. and Resh, V.H., 2017. Macroinvertebrates. In Methods in Stream Ecology, Volume 1 (pp. 297-319). Academic Press.</t>
  </si>
  <si>
    <t>References consulted for this work, especially those that are the product of a sytemised literature search for allometry of the small (theory and data) and micro body mass estimates (examples and equations), April 2026. Pre 2010 was found via anchor literature. Good datasets for microbes are labelled as such!</t>
  </si>
  <si>
    <t>Macro body mass</t>
  </si>
  <si>
    <t>Hauer &amp; Resh 2017</t>
  </si>
  <si>
    <t>no systemised lit review</t>
  </si>
  <si>
    <t>systemised lit review</t>
  </si>
  <si>
    <t>Gjoni, V., Glazier, D.S., Pomeranz, J.P., Junker, J.R., Smith, A., Woelber, J., Reynolds, S., Welch, T. and Wesner, J.S., 2026. Temperature and predation alter metabolic scaling without changing the size-based community structure of freshwater macroinvertebrates. Philosophical Transactions B, 381(1946), p.20250072.</t>
  </si>
  <si>
    <t>Balushkina, Y. v. (1982). Body weight of chironomid larvae as a function of length. Hydrobiological Journal, 18(3), 53–60.</t>
  </si>
  <si>
    <t>Tab 10:</t>
  </si>
  <si>
    <t>Full reference</t>
  </si>
  <si>
    <t>Baumgärtner, D., &amp; Rothhaupt, K. (2003). Predictive length–dry mass regressions for freshwater invertebrates in a pre‐alpine lake littoral. International Review of Hydrobiology: A Journal Covering All Aspects of Limnology and Marine Biology, 88(5), 453–463.</t>
  </si>
  <si>
    <t>Benke, A. C., Huryn, A. D., Smock, L. A., &amp; Wallace, J. B. (1999). Length-mass relationships for freshwater macroinvertebrates in North America with particular reference to the southeastern United States. Journal of the North American Benthological Society, 18(3), 308–343. https://doi.org/10.2307/1468447</t>
  </si>
  <si>
    <t>Burgherr, P., &amp; Meyer E.I. (1997). Regression analysis of linear body dimensions vs. dry mass in stream macroinvertebrates. – Arch. Hydrobiol. 139: 101–112. Arch. Hydrobiol, 139, 101–112.</t>
  </si>
  <si>
    <t>Edwards, F.K., 2005. Fish presence and the ecology of stream invertebrate predators (Doctoral dissertation, University of Edinburgh).</t>
  </si>
  <si>
    <t>Finogenova, N. P., &amp; Lobasheva, T. M. (1987). Growth of Tubifex tubifex Müller (Oligochaeta, Tubificidae) under various trophic conditions. Internationale Revue Der Gesamten Hydrobiologie Und Hydrographie, 72(6), 709–726.</t>
  </si>
  <si>
    <t>Herzig, A. (1984). Temperature and life cycle strategies of Diaphanosoma brachyurum: an experimental study on development, growth, and survival. Archiv Für Hydrobiologie, 101(1–2), 143–178.</t>
  </si>
  <si>
    <t>Meyer, E. (1989). The relationship between body length parameters and dry mass in running water invertebrates.</t>
  </si>
  <si>
    <t>Smit, H., van Heel, E. D., &amp; Wiersma, S. (1993). Biovolume as a tool in biomass determination of Oligochaeta and Chironomidae. Freshwater Biology, 29(1), 37–46.</t>
  </si>
  <si>
    <t>Smock, L. A. (1980). Relationships between body size and biomass of aquatic insects. Freshwater Biology, 10(4), 375–383.</t>
  </si>
  <si>
    <t>Towers, D. J., Henderson, I. M., &amp; Veltman, C. J. (1994). Predicting dry weight of New Zealand aquatic macroinvertebrates from linear dimensions. New Zealand Journal of Marine and Freshwater Research, 28(2), 159–166.</t>
  </si>
  <si>
    <t>Woodward, G. (1999) Invasion of a stream food web by a new top predator. PhD Thesis, Queen Mary &amp; Westfield College, University of London.</t>
  </si>
  <si>
    <t>Invasion of a stream food web by a new top predator.</t>
  </si>
  <si>
    <t>link</t>
  </si>
  <si>
    <t>Sub-Group</t>
  </si>
  <si>
    <t>Macrofauna, freshwater</t>
  </si>
  <si>
    <t>Macrofauna, brakish</t>
  </si>
  <si>
    <t>Rosati, I., Barbone, E. and Basset, A., 2012. Length–mass relationships for transitional water benthic macroinvertebrates in Mediterranean and Black Sea ecosystems. Estuarine, Coastal and Shelf Science, 113, pp.231-239.</t>
  </si>
  <si>
    <t>Rosati et al. 2012</t>
  </si>
  <si>
    <t>van Leeuwen, C.H., Csabai, Z., Szloboda, A., Móra, A. and Declerck, S.A., 2025. Length–Dry Mass Relationships of Aquatic Insects: Geographic and Taxonomic Variation in a Digital Database. Freshwater Biology, 70(7), p.e70056.</t>
  </si>
  <si>
    <t>van Leeuwen et al. 2025</t>
  </si>
  <si>
    <t xml:space="preserve">Literature review on freshater equations: 84 (sub)families and 233 genera </t>
  </si>
  <si>
    <t>Weissman, J.L., Hou, S. and Fuhrman, J.A., 2021. Estimating maximal microbial growth rates from cultures, metagenomes, and single cells via codon usage patterns. Proceedings of the National Academy of Sciences, 118(12), p.e2016810118. doi: 10.1073/pnas.2016810118</t>
  </si>
  <si>
    <t xml:space="preserve">Copiotrophy in bacteria = ecological strategy (r-strategists) that bacteria use to survive, grow, and compete for resources in their environments and the opposite of oligotrophy. </t>
  </si>
  <si>
    <t>Crenarchaeota</t>
  </si>
  <si>
    <t>Euryarchaeota</t>
  </si>
  <si>
    <t>Actinobacteria</t>
  </si>
  <si>
    <t>Chlorobi</t>
  </si>
  <si>
    <t>Firmicutes</t>
  </si>
  <si>
    <t>Proteobacteria</t>
  </si>
  <si>
    <t>Spirochaetae</t>
  </si>
  <si>
    <t>Tenericutes</t>
  </si>
  <si>
    <t>Chromista</t>
  </si>
  <si>
    <t>Bacillariophyta</t>
  </si>
  <si>
    <t>Chrysophyta</t>
  </si>
  <si>
    <t>Cryptophycophyta</t>
  </si>
  <si>
    <t>Myzozoa</t>
  </si>
  <si>
    <t>NA</t>
  </si>
  <si>
    <t>Pyrrophycophyta</t>
  </si>
  <si>
    <t>Excavata</t>
  </si>
  <si>
    <t>Parabasalia</t>
  </si>
  <si>
    <t>Ascomycota</t>
  </si>
  <si>
    <t>Plantae</t>
  </si>
  <si>
    <t>Protozoa</t>
  </si>
  <si>
    <t>Amoebozoa</t>
  </si>
  <si>
    <t>Apicomplexa</t>
  </si>
  <si>
    <t>Ciliophora</t>
  </si>
  <si>
    <t>Euglenophycota</t>
  </si>
  <si>
    <t>Hoehler, T.M., Mankel, D.J., Girguis, P.R., McCollom, T.M., Kiang, N.Y. and Jørgensen, B.B., 2023. The metabolic rate of the biosphere and its components. Proceedings of the National Academy of Sciences, 120(25), p.e2303764120. doi: 10.1073/pnas.2303764120</t>
  </si>
  <si>
    <t>Hoehler et al. 2023</t>
  </si>
  <si>
    <t>Hoehler et al. 2023 give DM/WW ratios for a wide range of taxa (see Table below)</t>
  </si>
  <si>
    <t>Table: Hoehler et al. 2023 give DM/WW ratios for a wide range of taxa</t>
  </si>
  <si>
    <t>Gram-negative / copiotroph / chemoheterotroph</t>
  </si>
  <si>
    <t>Gram-negative / oligotroph / chemoheterotroph (proteorhodopsin-aided)</t>
  </si>
  <si>
    <t>No cell wall (stains Gram-negative) / host-associated parasite, neither / chemoheterotroph (host-associated parasite)</t>
  </si>
  <si>
    <t>Archaeon (no Gram category) / hyperthermophile, neither / chemoheterotroph (S0-reducing)</t>
  </si>
  <si>
    <t>Gram-negative / oligotroph / photoautotroph</t>
  </si>
  <si>
    <t>Gram-negative / not clearly assignable / uncertain (not verified)</t>
  </si>
  <si>
    <t>Gram-negative / not clearly assignable (sulfidic interfaces) / chemolithoautotroph (sulfide oxidiser)</t>
  </si>
  <si>
    <t>Gram-negative (cyanobacterium) / not clearly assignable / photoautotroph</t>
  </si>
  <si>
    <t>Gram-negative (cyanobacterium) / symbiont, neither / photoautotroph (symbiont)</t>
  </si>
  <si>
    <t>Gram-negative / not clearly assignable / chemolithotroph, possibly mixotroph (S oxidiser)</t>
  </si>
  <si>
    <t>Gram-negative / not clearly assignable / chemolithoautotroph/mixotroph (sulfide oxidiser)</t>
  </si>
  <si>
    <t>Gram-negative / not clearly assignable / chemolithotroph (sulfide oxidiser, nitrate-reducing)</t>
  </si>
  <si>
    <t>Gram-positive (Actinobacteria, inferred) / oligotroph / chemoheterotroph (actinorhodopsin-aided)</t>
  </si>
  <si>
    <t>Gram-negative (cyanobacterium) / photoautotroph (group level)</t>
  </si>
  <si>
    <t>Gram-positive / copiotroph / chemoheterotroph</t>
  </si>
  <si>
    <t>Gram-negative / predator, neither / chemoheterotroph (bacterial predator)</t>
  </si>
  <si>
    <t>Gram-negative / copiotroph / chemoheterotroph / facultative chemolithoautotroph (H2)</t>
  </si>
  <si>
    <t>Gram-negative / copiotroph / chemoheterotroph / facultative chemolithoautotroph</t>
  </si>
  <si>
    <t>Gram-negative (cyanobacterium) / copiotroph-like (eutrophic blooms) / photoautotroph (N2-fixer)</t>
  </si>
  <si>
    <t>Gram-negative (cyanobacterium) / copiotroph-like (eutrophic blooms) / photoautotroph</t>
  </si>
  <si>
    <t>Gram-negative / oligotroph (marine picocyanobacteria; freshwater strains vary) / photoautotroph</t>
  </si>
  <si>
    <t>Variable (thecate or naked) / variable (phototroph to heterotroph)</t>
  </si>
  <si>
    <t>Silica frustule / phototroph</t>
  </si>
  <si>
    <t>Cellulose thecal plates (armoured) / phototroph</t>
  </si>
  <si>
    <t>Naked (athecate) / heterotroph</t>
  </si>
  <si>
    <t>Cellulose thecal plates (armoured) / phototroph (some mixotrophic)</t>
  </si>
  <si>
    <t>Cellulose thecal plates (armoured) / phototroph (many mixotrophic)</t>
  </si>
  <si>
    <t>Cellulose thecal plates (armoured) / mixotroph (kleptoplastidic)</t>
  </si>
  <si>
    <t>Cellulose thecal plates (armoured) / heterotroph</t>
  </si>
  <si>
    <t>Cellulose thecal plates (armoured) / heterotroph (cyanobacterial ectosymbionts)</t>
  </si>
  <si>
    <t>Calcite coccoliths / phototroph</t>
  </si>
  <si>
    <t>Organic scales, non-calcifying (haptophyte) / phototroph</t>
  </si>
  <si>
    <t>Calcite coccoliths + organic scales (co-culture) / phototroph</t>
  </si>
  <si>
    <t>No cell wall (naked prasinophyte) / phototroph</t>
  </si>
  <si>
    <t>Cellulose thecal plates (armoured) / mixotroph</t>
  </si>
  <si>
    <t>Cellulose cell wall (desmid) / phototroph</t>
  </si>
  <si>
    <t>Cellulose/pectin wall / phototroph</t>
  </si>
  <si>
    <t>Variable (naked amoeboid or walled coccoid) / mixotroph</t>
  </si>
  <si>
    <t>Variable (cellulose, glycoprotein or none) / phototroph</t>
  </si>
  <si>
    <t>Periplast (proteinaceous plates, no true wall) / phototroph (some mixotrophic)</t>
  </si>
  <si>
    <t>Pellicle (proteinaceous, no wall) / phototroph (some heterotrophic)</t>
  </si>
  <si>
    <t>Organic scales +/- calcite coccoliths / phototroph (some mixotrophic)</t>
  </si>
  <si>
    <t>Variable (silica in diatoms, organic or none elsewhere) / phototroph (some mixotrophic)</t>
  </si>
  <si>
    <t>Variable (polysaccharide wall or mucilage) / phototroph</t>
  </si>
  <si>
    <t>Cellulose-based wall / phototroph</t>
  </si>
  <si>
    <t>Glycoprotein wall (no cellulose) / phototroph</t>
  </si>
  <si>
    <t>Rigid wall (glucosamine/algaenan) / phototroph</t>
  </si>
  <si>
    <t>No cell wall (naked) / phototroph</t>
  </si>
  <si>
    <t>Cellulose/glycoprotein wall / phototroph</t>
  </si>
  <si>
    <t>Cellulose wall with algaenan outer layer / phototroph</t>
  </si>
  <si>
    <t>Cellulose wall / phototroph</t>
  </si>
  <si>
    <t>Cellulose wall (+ algaenan-like layer) / phototroph</t>
  </si>
  <si>
    <t>Theca of fused organic scales / phototroph (some mixotrophy)</t>
  </si>
  <si>
    <t>Silica plates (Bolidophyceae) / phototroph</t>
  </si>
  <si>
    <t>heterotroph</t>
  </si>
  <si>
    <t>Traits other than body size for the example species (from common knowledge; tbc)</t>
  </si>
  <si>
    <t>data not inlcuded as µgC barely scales with volume (slope about 0.09, where about 0.8 is expected)</t>
  </si>
  <si>
    <t>Sort_no</t>
  </si>
  <si>
    <t>Bacteria samped at Raunefjorden</t>
  </si>
  <si>
    <t>Bacteria samped at Raunefjorden 2</t>
  </si>
  <si>
    <t xml:space="preserve">Bacteria sampled at Knebel Vig </t>
  </si>
  <si>
    <t>Bacteria sampled at Knebel Vig  2</t>
  </si>
  <si>
    <t>Bacteria sampled at Tvarminne</t>
  </si>
  <si>
    <t>Lake bacteria</t>
  </si>
  <si>
    <t>Vibrio natriegens, stationary</t>
  </si>
  <si>
    <t>Vibrio natriegens, growing</t>
  </si>
  <si>
    <t>Escherichia coli, growing</t>
  </si>
  <si>
    <t>Escherichia coli, stationary</t>
  </si>
  <si>
    <t>10 fg carbon per cell</t>
  </si>
  <si>
    <t>20 fg carbon per cell</t>
  </si>
  <si>
    <t>Testate amoebas</t>
  </si>
  <si>
    <t>Mesozooplankton marine</t>
  </si>
  <si>
    <t>log10 of microgram; log10 unit not given but must be carbon</t>
  </si>
  <si>
    <t>Data not used as need to check dry mass and volume - conversion seem off</t>
  </si>
  <si>
    <t>note difference to Foissner &amp; Berger</t>
  </si>
  <si>
    <t>seems very high for the species comapred to Reiss et al.</t>
  </si>
  <si>
    <t>665 fg per cell</t>
  </si>
  <si>
    <r>
      <t>E. coli</t>
    </r>
    <r>
      <rPr>
        <sz val="8"/>
        <rFont val="Calibri Light"/>
        <family val="2"/>
        <scheme val="major"/>
      </rPr>
      <t>, heat killed</t>
    </r>
  </si>
  <si>
    <t>not incuded in tab 1 as some weight are implausible</t>
  </si>
  <si>
    <t>Sub-group</t>
  </si>
  <si>
    <t>Min of DM/WM</t>
  </si>
  <si>
    <t>Max of DM/WM</t>
  </si>
  <si>
    <t>Unicellular eukaryote</t>
  </si>
  <si>
    <t>implausible</t>
  </si>
  <si>
    <t>Crenarchaeotasmall</t>
  </si>
  <si>
    <t>Euryarchaeotasmall</t>
  </si>
  <si>
    <t>Crenarchaeotalarge</t>
  </si>
  <si>
    <t>Euryarchaeotalarge</t>
  </si>
  <si>
    <t>Actinobacteriasmall</t>
  </si>
  <si>
    <t>Chlorobismall</t>
  </si>
  <si>
    <t>Cyanobacteriasmall</t>
  </si>
  <si>
    <t>Firmicutessmall</t>
  </si>
  <si>
    <t>Proteobacteriasmall</t>
  </si>
  <si>
    <t>Spirochaetaesmall</t>
  </si>
  <si>
    <t>Tenericutessmall</t>
  </si>
  <si>
    <t>Actinobacterialarge</t>
  </si>
  <si>
    <t>Chlorobilarge</t>
  </si>
  <si>
    <t>Cyanobacterialarge</t>
  </si>
  <si>
    <t>Firmicuteslarge</t>
  </si>
  <si>
    <t>Proteobacterialarge</t>
  </si>
  <si>
    <t>Spirochaetaelarge</t>
  </si>
  <si>
    <t>Tenericuteslarge</t>
  </si>
  <si>
    <t>Bacillariophytasmall</t>
  </si>
  <si>
    <t>Chrysophytasmall</t>
  </si>
  <si>
    <t>Cryptophycophytasmall</t>
  </si>
  <si>
    <t>Haptophytasmall</t>
  </si>
  <si>
    <t>Myzozoasmall</t>
  </si>
  <si>
    <t>Ochrophytasmall</t>
  </si>
  <si>
    <t>Pyrrophycophytasmall</t>
  </si>
  <si>
    <t>Euglenozoasmall</t>
  </si>
  <si>
    <t>Parabasaliasmall</t>
  </si>
  <si>
    <t>Ascomycotasmall</t>
  </si>
  <si>
    <t>Chlorophytasmall</t>
  </si>
  <si>
    <t>Amoebozoasmall</t>
  </si>
  <si>
    <t>Apicomplexasmall</t>
  </si>
  <si>
    <t>Ciliophorasmall</t>
  </si>
  <si>
    <t>Euglenophycotasmall</t>
  </si>
  <si>
    <t>Protozoasmall</t>
  </si>
  <si>
    <t>Bacillariophytalarge</t>
  </si>
  <si>
    <t>Chrysophytalarge</t>
  </si>
  <si>
    <t>Cryptophycophytalarge</t>
  </si>
  <si>
    <t>Haptophytalarge</t>
  </si>
  <si>
    <t>Myzozoalarge</t>
  </si>
  <si>
    <t>Ochrophytalarge</t>
  </si>
  <si>
    <t>Pyrrophycophytalarge</t>
  </si>
  <si>
    <t>Euglenozoalarge</t>
  </si>
  <si>
    <t>Parabasalialarge</t>
  </si>
  <si>
    <t>Ascomycotalarge</t>
  </si>
  <si>
    <t>Chlorophytalarge</t>
  </si>
  <si>
    <t>Amoebozoalarge</t>
  </si>
  <si>
    <t>Apicomplexalarge</t>
  </si>
  <si>
    <t>Ciliophoralarge</t>
  </si>
  <si>
    <t>Euglenophycotalarge</t>
  </si>
  <si>
    <t>Protozoalarge</t>
  </si>
  <si>
    <t xml:space="preserve"> phototroph</t>
  </si>
  <si>
    <t>phototroph</t>
  </si>
  <si>
    <t>not incuded in analysis; check, some values not possible</t>
  </si>
  <si>
    <t>cm, ESD</t>
  </si>
  <si>
    <t>pg POC cell−1</t>
  </si>
  <si>
    <t>10,000 pg C cell-1</t>
  </si>
  <si>
    <t xml:space="preserve">baculovirus of Autographa californica </t>
  </si>
  <si>
    <t>ColumnS=total particle mass, not just carbon</t>
  </si>
  <si>
    <t>58 x 10power6 daltons; head 60 nm diameter + 150 nm tail = 210 nm</t>
  </si>
  <si>
    <t>Eustigmatophyte</t>
  </si>
  <si>
    <t>Chlorophytes</t>
  </si>
  <si>
    <t>Amoeobozoans</t>
  </si>
  <si>
    <t>Pseudokirchneriella subcapitata = Selenastrum capricornutum</t>
  </si>
  <si>
    <t>Haematococcus lacustris = Haematococcus pluvialis</t>
  </si>
  <si>
    <t>Bacillus megaterium</t>
  </si>
  <si>
    <t>Staphylothermus marinus</t>
  </si>
  <si>
    <t>Skeletonema costatum</t>
  </si>
  <si>
    <t>Pseudomonas fluorescens</t>
  </si>
  <si>
    <t>Pacifastacus leniusculus</t>
  </si>
  <si>
    <t>V = 4/3 πr³ + πr²(L-W)</t>
  </si>
  <si>
    <t>Pure Carbon</t>
  </si>
  <si>
    <t>Comparisons</t>
  </si>
  <si>
    <t>Shiny app</t>
  </si>
  <si>
    <t xml:space="preserve">prolate spheroid </t>
  </si>
  <si>
    <t>Loferer-Krossbacher et al. 1998 assume 50% for bacteria</t>
  </si>
  <si>
    <t>capsule, cylinder-plus-sphere composite = cone plus 2 model, i.e. the total volume is the sum of the cylinder volume and the volume of a full sphere</t>
  </si>
  <si>
    <t>Large copepod</t>
  </si>
  <si>
    <t>Bacterium</t>
  </si>
  <si>
    <t>Ciliate and micro-metazoan</t>
  </si>
  <si>
    <t>Macrofauna Literature that gives equations  that can be used to estimate body size  for different groups and species of macrofauna.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</si>
</sst>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000000000000000000000"/>
    <numFmt numFmtId="165" formatCode="0.000000000000000000"/>
    <numFmt numFmtId="166" formatCode="0.000000000000000"/>
    <numFmt numFmtId="167" formatCode="0.000000000000"/>
    <numFmt numFmtId="168" formatCode="0.000000000"/>
    <numFmt numFmtId="169" formatCode="0.000000"/>
    <numFmt numFmtId="170" formatCode="0.000"/>
    <numFmt numFmtId="171" formatCode="0.000000000000000000000000"/>
    <numFmt numFmtId="172" formatCode="0.0"/>
    <numFmt numFmtId="173" formatCode="0.0E+00"/>
    <numFmt numFmtId="174" formatCode="_-* #,##0_-;\-* #,##0_-;_-* &quot;-&quot;??_-;_-@_-"/>
    <numFmt numFmtId="175" formatCode="_-* #,##0.00\ &quot;€&quot;_-;\-* #,##0.00\ &quot;€&quot;_-;_-* &quot;-&quot;??\ &quot;€&quot;_-;_-@_-"/>
  </numFmts>
  <fonts count="53" x14ac:knownFonts="1">
    <font>
      <sz val="11"/>
      <color theme="1"/>
      <name val="Calibri"/>
      <family val="2"/>
      <scheme val="minor"/>
    </font>
    <font>
      <b/>
      <sz val="9"/>
      <color theme="1"/>
      <name val="Calibri Light"/>
      <family val="2"/>
      <scheme val="major"/>
    </font>
    <font>
      <sz val="9"/>
      <color theme="1"/>
      <name val="Calibri Light"/>
      <family val="2"/>
      <scheme val="major"/>
    </font>
    <font>
      <sz val="12"/>
      <color theme="1"/>
      <name val="Calibri"/>
      <family val="2"/>
      <scheme val="minor"/>
    </font>
    <font>
      <sz val="8"/>
      <name val="Calibri"/>
      <family val="2"/>
      <scheme val="minor"/>
    </font>
    <font>
      <sz val="9"/>
      <color theme="1"/>
      <name val="Calibri Light"/>
      <family val="2"/>
    </font>
    <font>
      <b/>
      <sz val="11"/>
      <color theme="1"/>
      <name val="Calibri"/>
      <family val="2"/>
      <scheme val="minor"/>
    </font>
    <font>
      <sz val="10"/>
      <name val="Arial"/>
      <family val="2"/>
    </font>
    <font>
      <sz val="11"/>
      <color theme="1"/>
      <name val="Calibri Light"/>
      <family val="2"/>
      <scheme val="major"/>
    </font>
    <font>
      <b/>
      <sz val="11"/>
      <color theme="1"/>
      <name val="Calibri Light"/>
      <family val="2"/>
      <scheme val="major"/>
    </font>
    <font>
      <sz val="8"/>
      <color theme="1"/>
      <name val="Calibri Light"/>
      <family val="2"/>
      <scheme val="major"/>
    </font>
    <font>
      <sz val="8"/>
      <name val="Calibri Light"/>
      <family val="2"/>
      <scheme val="major"/>
    </font>
    <font>
      <sz val="11"/>
      <name val="Calibri"/>
      <family val="2"/>
      <scheme val="minor"/>
    </font>
    <font>
      <b/>
      <sz val="8"/>
      <name val="Calibri Light"/>
      <family val="2"/>
      <scheme val="major"/>
    </font>
    <font>
      <sz val="8"/>
      <color theme="4" tint="-0.249977111117893"/>
      <name val="Calibri Light"/>
      <family val="2"/>
      <scheme val="major"/>
    </font>
    <font>
      <sz val="6"/>
      <color theme="0"/>
      <name val="Arial"/>
      <family val="2"/>
    </font>
    <font>
      <sz val="6"/>
      <color rgb="FFFFFFFF"/>
      <name val="Arial"/>
      <family val="2"/>
    </font>
    <font>
      <vertAlign val="superscript"/>
      <sz val="6"/>
      <color theme="0"/>
      <name val="Arial"/>
      <family val="2"/>
    </font>
    <font>
      <b/>
      <sz val="6"/>
      <color theme="1"/>
      <name val="Arial"/>
      <family val="2"/>
    </font>
    <font>
      <sz val="6"/>
      <color theme="1"/>
      <name val="Arial"/>
      <family val="2"/>
    </font>
    <font>
      <sz val="6"/>
      <color rgb="FF000000"/>
      <name val="Arial"/>
      <family val="2"/>
    </font>
    <font>
      <vertAlign val="superscript"/>
      <sz val="6"/>
      <color rgb="FF000000"/>
      <name val="Arial"/>
      <family val="2"/>
    </font>
    <font>
      <sz val="6"/>
      <color theme="1"/>
      <name val="Calibri"/>
      <family val="2"/>
      <scheme val="minor"/>
    </font>
    <font>
      <sz val="6"/>
      <name val="Arial"/>
      <family val="2"/>
    </font>
    <font>
      <vertAlign val="superscript"/>
      <sz val="6"/>
      <name val="Arial"/>
      <family val="2"/>
    </font>
    <font>
      <i/>
      <sz val="6"/>
      <color theme="1"/>
      <name val="Arial"/>
      <family val="2"/>
    </font>
    <font>
      <vertAlign val="superscript"/>
      <sz val="6"/>
      <color theme="1"/>
      <name val="Arial"/>
      <family val="2"/>
    </font>
    <font>
      <sz val="6"/>
      <color theme="1"/>
      <name val="Aptos Narrow"/>
      <family val="2"/>
    </font>
    <font>
      <sz val="8"/>
      <color theme="1"/>
      <name val="Arial"/>
      <family val="2"/>
    </font>
    <font>
      <b/>
      <sz val="8"/>
      <color theme="1"/>
      <name val="Arial"/>
      <family val="2"/>
    </font>
    <font>
      <sz val="8"/>
      <name val="Arial"/>
      <family val="2"/>
    </font>
    <font>
      <sz val="8"/>
      <color rgb="FF000000"/>
      <name val="Arial"/>
      <family val="2"/>
    </font>
    <font>
      <sz val="10"/>
      <color theme="1"/>
      <name val="Arial"/>
      <family val="2"/>
    </font>
    <font>
      <b/>
      <sz val="10"/>
      <color theme="1"/>
      <name val="Arial"/>
      <family val="2"/>
    </font>
    <font>
      <sz val="10"/>
      <color rgb="FF00000A"/>
      <name val="Arial"/>
      <family val="2"/>
    </font>
    <font>
      <sz val="10"/>
      <color rgb="FF000000"/>
      <name val="Arial"/>
      <family val="2"/>
    </font>
    <font>
      <sz val="12"/>
      <color theme="1"/>
      <name val="Cambria"/>
      <family val="1"/>
    </font>
    <font>
      <sz val="11"/>
      <color theme="1"/>
      <name val="Calibri"/>
      <family val="2"/>
      <scheme val="minor"/>
    </font>
    <font>
      <b/>
      <sz val="10"/>
      <color rgb="FF00000A"/>
      <name val="Arial"/>
      <family val="2"/>
    </font>
    <font>
      <i/>
      <sz val="10"/>
      <color rgb="FF00000A"/>
      <name val="Arial"/>
      <family val="2"/>
    </font>
    <font>
      <i/>
      <sz val="6"/>
      <color rgb="FF000000"/>
      <name val="Arial"/>
      <family val="2"/>
    </font>
    <font>
      <b/>
      <sz val="9"/>
      <color theme="1"/>
      <name val="Arial"/>
      <family val="2"/>
    </font>
    <font>
      <sz val="9"/>
      <color theme="1"/>
      <name val="Arial"/>
      <family val="2"/>
    </font>
    <font>
      <sz val="9"/>
      <color rgb="FF000000"/>
      <name val="Arial"/>
      <family val="2"/>
    </font>
    <font>
      <sz val="9"/>
      <color rgb="FF00000A"/>
      <name val="Arial"/>
      <family val="2"/>
    </font>
    <font>
      <sz val="8"/>
      <color theme="1"/>
      <name val="Aptos"/>
      <family val="2"/>
    </font>
    <font>
      <i/>
      <sz val="8"/>
      <name val="Calibri Light"/>
      <family val="2"/>
      <scheme val="major"/>
    </font>
    <font>
      <i/>
      <sz val="8"/>
      <color theme="1"/>
      <name val="Calibri Light"/>
      <family val="2"/>
      <scheme val="major"/>
    </font>
    <font>
      <u/>
      <sz val="11"/>
      <color theme="10"/>
      <name val="Calibri"/>
      <family val="2"/>
      <scheme val="minor"/>
    </font>
    <font>
      <u/>
      <sz val="8"/>
      <color theme="10"/>
      <name val="Arial"/>
      <family val="2"/>
    </font>
    <font>
      <sz val="8"/>
      <color rgb="FF0B0C0E"/>
      <name val="Calibri Light"/>
      <family val="2"/>
      <scheme val="major"/>
    </font>
    <font>
      <sz val="8"/>
      <color rgb="FF202020"/>
      <name val="Calibri Light"/>
      <family val="2"/>
      <scheme val="major"/>
    </font>
    <font>
      <u/>
      <sz val="8"/>
      <color theme="10"/>
      <name val="Calibri Light"/>
      <family val="2"/>
      <scheme val="major"/>
    </font>
  </fonts>
  <fills count="6">
    <fill>
      <patternFill patternType="none"/>
    </fill>
    <fill>
      <patternFill patternType="gray125"/>
    </fill>
    <fill>
      <patternFill patternType="solid">
        <fgColor theme="2" tint="-0.499984740745262"/>
        <bgColor indexed="64"/>
      </patternFill>
    </fill>
    <fill>
      <patternFill patternType="solid">
        <fgColor rgb="FF757171"/>
        <bgColor indexed="64"/>
      </patternFill>
    </fill>
    <fill>
      <patternFill patternType="solid">
        <fgColor rgb="FFFFFF00"/>
        <bgColor indexed="64"/>
      </patternFill>
    </fill>
    <fill>
      <patternFill patternType="solid">
        <fgColor theme="2"/>
        <bgColor indexed="64"/>
      </patternFill>
    </fill>
  </fills>
  <borders count="2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rgb="FF000000"/>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s>
  <cellStyleXfs count="7">
    <xf numFmtId="0" fontId="0" fillId="0" borderId="0"/>
    <xf numFmtId="0" fontId="3" fillId="0" borderId="0"/>
    <xf numFmtId="0" fontId="7" fillId="0" borderId="0"/>
    <xf numFmtId="43" fontId="37" fillId="0" borderId="0" applyFont="0" applyFill="0" applyBorder="0" applyAlignment="0" applyProtection="0"/>
    <xf numFmtId="0" fontId="7" fillId="0" borderId="0"/>
    <xf numFmtId="175" fontId="7" fillId="0" borderId="0" applyFont="0" applyFill="0" applyBorder="0" applyAlignment="0" applyProtection="0"/>
    <xf numFmtId="0" fontId="48" fillId="0" borderId="0" applyNumberFormat="0" applyFill="0" applyBorder="0" applyAlignment="0" applyProtection="0"/>
  </cellStyleXfs>
  <cellXfs count="212">
    <xf numFmtId="0" fontId="0" fillId="0" borderId="0" xfId="0"/>
    <xf numFmtId="0" fontId="0" fillId="0" borderId="0" xfId="0" applyAlignment="1">
      <alignment horizontal="left" vertical="top"/>
    </xf>
    <xf numFmtId="0" fontId="2" fillId="0" borderId="0" xfId="0" applyFont="1" applyAlignment="1">
      <alignment horizontal="left" vertical="top"/>
    </xf>
    <xf numFmtId="11" fontId="2" fillId="0" borderId="0" xfId="0" applyNumberFormat="1" applyFont="1" applyAlignment="1">
      <alignment horizontal="left" vertical="top"/>
    </xf>
    <xf numFmtId="0" fontId="2" fillId="0" borderId="0" xfId="0" applyFont="1"/>
    <xf numFmtId="2" fontId="2" fillId="0" borderId="0" xfId="0" applyNumberFormat="1" applyFont="1"/>
    <xf numFmtId="49" fontId="2" fillId="0" borderId="0" xfId="0" applyNumberFormat="1" applyFont="1" applyAlignment="1">
      <alignment horizontal="left" vertical="top"/>
    </xf>
    <xf numFmtId="0" fontId="2" fillId="0" borderId="1" xfId="0" applyFont="1" applyBorder="1" applyAlignment="1">
      <alignment horizontal="left" vertical="top"/>
    </xf>
    <xf numFmtId="49" fontId="2" fillId="0" borderId="1" xfId="0" applyNumberFormat="1" applyFont="1" applyBorder="1" applyAlignment="1">
      <alignment horizontal="left" vertical="top"/>
    </xf>
    <xf numFmtId="11" fontId="2" fillId="0" borderId="1" xfId="0" applyNumberFormat="1" applyFont="1" applyBorder="1" applyAlignment="1">
      <alignment horizontal="left" vertical="top"/>
    </xf>
    <xf numFmtId="0" fontId="3" fillId="0" borderId="0" xfId="0" applyFont="1" applyAlignment="1">
      <alignment horizontal="left" vertical="top"/>
    </xf>
    <xf numFmtId="0" fontId="2" fillId="0" borderId="2" xfId="0" applyFont="1" applyBorder="1" applyAlignment="1">
      <alignment horizontal="left" vertical="top"/>
    </xf>
    <xf numFmtId="49" fontId="2" fillId="0" borderId="2" xfId="0" applyNumberFormat="1" applyFont="1" applyBorder="1" applyAlignment="1">
      <alignment horizontal="left" vertical="top"/>
    </xf>
    <xf numFmtId="11" fontId="2" fillId="0" borderId="2" xfId="0" applyNumberFormat="1" applyFont="1" applyBorder="1" applyAlignment="1">
      <alignment horizontal="left" vertical="top"/>
    </xf>
    <xf numFmtId="0" fontId="0" fillId="0" borderId="3" xfId="0" applyBorder="1"/>
    <xf numFmtId="0" fontId="2" fillId="0" borderId="3" xfId="0" applyFont="1" applyBorder="1"/>
    <xf numFmtId="0" fontId="1" fillId="0" borderId="3" xfId="0" applyFont="1" applyBorder="1" applyAlignment="1">
      <alignment horizontal="left" vertical="top"/>
    </xf>
    <xf numFmtId="0" fontId="2" fillId="0" borderId="3" xfId="0" applyFont="1" applyBorder="1" applyAlignment="1">
      <alignment horizontal="left" vertical="top"/>
    </xf>
    <xf numFmtId="11" fontId="2" fillId="0" borderId="3" xfId="0" applyNumberFormat="1" applyFont="1" applyBorder="1" applyAlignment="1">
      <alignment horizontal="left" vertical="top"/>
    </xf>
    <xf numFmtId="0" fontId="0" fillId="0" borderId="0" xfId="0" applyAlignment="1">
      <alignment horizontal="center"/>
    </xf>
    <xf numFmtId="0" fontId="2" fillId="0" borderId="0" xfId="0" applyFont="1" applyAlignment="1">
      <alignment horizontal="center" vertical="top"/>
    </xf>
    <xf numFmtId="0" fontId="2" fillId="0" borderId="6" xfId="0" applyFont="1" applyBorder="1" applyAlignment="1">
      <alignment horizontal="center" vertical="top" wrapText="1"/>
    </xf>
    <xf numFmtId="0" fontId="2" fillId="0" borderId="6" xfId="0" applyFont="1" applyBorder="1" applyAlignment="1">
      <alignment horizontal="left" vertical="top"/>
    </xf>
    <xf numFmtId="11" fontId="2" fillId="0" borderId="6" xfId="0" applyNumberFormat="1" applyFont="1" applyBorder="1" applyAlignment="1">
      <alignment horizontal="left" vertical="top"/>
    </xf>
    <xf numFmtId="164" fontId="2" fillId="0" borderId="6" xfId="0" applyNumberFormat="1" applyFont="1" applyBorder="1" applyAlignment="1">
      <alignment horizontal="left" vertical="top"/>
    </xf>
    <xf numFmtId="0" fontId="2" fillId="0" borderId="0" xfId="0" applyFont="1" applyAlignment="1">
      <alignment vertical="top"/>
    </xf>
    <xf numFmtId="0" fontId="0" fillId="0" borderId="0" xfId="0" applyAlignment="1">
      <alignment wrapText="1"/>
    </xf>
    <xf numFmtId="0" fontId="2" fillId="0" borderId="4" xfId="0" applyFont="1" applyBorder="1" applyAlignment="1">
      <alignment horizontal="left" vertical="top"/>
    </xf>
    <xf numFmtId="0" fontId="0" fillId="0" borderId="0" xfId="0" applyAlignment="1">
      <alignment horizontal="left"/>
    </xf>
    <xf numFmtId="0" fontId="0" fillId="0" borderId="6" xfId="0" applyBorder="1"/>
    <xf numFmtId="165" fontId="2" fillId="0" borderId="6" xfId="0" applyNumberFormat="1" applyFont="1" applyBorder="1" applyAlignment="1">
      <alignment horizontal="left" vertical="top"/>
    </xf>
    <xf numFmtId="166" fontId="2" fillId="0" borderId="6" xfId="0" applyNumberFormat="1" applyFont="1" applyBorder="1" applyAlignment="1">
      <alignment horizontal="left" vertical="top"/>
    </xf>
    <xf numFmtId="167" fontId="2" fillId="0" borderId="6" xfId="0" applyNumberFormat="1" applyFont="1" applyBorder="1" applyAlignment="1">
      <alignment horizontal="left" vertical="top"/>
    </xf>
    <xf numFmtId="168" fontId="2" fillId="0" borderId="6" xfId="0" applyNumberFormat="1" applyFont="1" applyBorder="1" applyAlignment="1">
      <alignment horizontal="left" vertical="top"/>
    </xf>
    <xf numFmtId="169" fontId="2" fillId="0" borderId="6" xfId="0" applyNumberFormat="1" applyFont="1" applyBorder="1" applyAlignment="1">
      <alignment horizontal="left" vertical="top"/>
    </xf>
    <xf numFmtId="170" fontId="2" fillId="0" borderId="6" xfId="0" applyNumberFormat="1" applyFont="1" applyBorder="1" applyAlignment="1">
      <alignment horizontal="left" vertical="top"/>
    </xf>
    <xf numFmtId="11" fontId="0" fillId="0" borderId="0" xfId="0" applyNumberFormat="1"/>
    <xf numFmtId="171" fontId="2" fillId="0" borderId="6" xfId="0" applyNumberFormat="1" applyFont="1" applyBorder="1" applyAlignment="1">
      <alignment horizontal="left" vertical="top"/>
    </xf>
    <xf numFmtId="0" fontId="2" fillId="0" borderId="2" xfId="0" applyFont="1" applyBorder="1"/>
    <xf numFmtId="0" fontId="0" fillId="0" borderId="1" xfId="0" applyBorder="1"/>
    <xf numFmtId="164" fontId="2" fillId="0" borderId="0" xfId="0" applyNumberFormat="1" applyFont="1" applyAlignment="1">
      <alignment horizontal="center" vertical="top"/>
    </xf>
    <xf numFmtId="164" fontId="2" fillId="0" borderId="0" xfId="0" applyNumberFormat="1" applyFont="1" applyAlignment="1">
      <alignment horizontal="left" vertical="top"/>
    </xf>
    <xf numFmtId="0" fontId="2" fillId="0" borderId="0" xfId="0" applyFont="1" applyAlignment="1">
      <alignment wrapText="1"/>
    </xf>
    <xf numFmtId="0" fontId="6" fillId="0" borderId="0" xfId="0" applyFont="1"/>
    <xf numFmtId="0" fontId="6" fillId="0" borderId="0" xfId="0" applyFont="1" applyAlignment="1">
      <alignment horizontal="left" vertical="top"/>
    </xf>
    <xf numFmtId="11" fontId="0" fillId="0" borderId="0" xfId="0" applyNumberFormat="1" applyAlignment="1">
      <alignment horizontal="left" vertical="top"/>
    </xf>
    <xf numFmtId="0" fontId="8" fillId="0" borderId="0" xfId="0" applyFont="1" applyAlignment="1">
      <alignment horizontal="left" vertical="top"/>
    </xf>
    <xf numFmtId="0" fontId="9" fillId="0" borderId="0" xfId="0" applyFont="1" applyAlignment="1">
      <alignment horizontal="left" vertical="top"/>
    </xf>
    <xf numFmtId="0" fontId="0" fillId="0" borderId="0" xfId="0" pivotButton="1"/>
    <xf numFmtId="11" fontId="6" fillId="0" borderId="0" xfId="0" applyNumberFormat="1" applyFont="1" applyAlignment="1">
      <alignment horizontal="left" vertical="top"/>
    </xf>
    <xf numFmtId="0" fontId="10" fillId="0" borderId="0" xfId="0" applyFont="1" applyAlignment="1">
      <alignment horizontal="left" vertical="top"/>
    </xf>
    <xf numFmtId="0" fontId="10" fillId="0" borderId="0" xfId="0" applyFont="1" applyAlignment="1">
      <alignment horizontal="left" vertical="top" wrapText="1"/>
    </xf>
    <xf numFmtId="173" fontId="10" fillId="0" borderId="0" xfId="0" applyNumberFormat="1" applyFont="1" applyAlignment="1">
      <alignment horizontal="left" vertical="top"/>
    </xf>
    <xf numFmtId="0" fontId="12" fillId="0" borderId="0" xfId="0" applyFont="1" applyAlignment="1">
      <alignment horizontal="left" vertical="top"/>
    </xf>
    <xf numFmtId="0" fontId="11" fillId="0" borderId="0" xfId="0" applyFont="1" applyAlignment="1">
      <alignment horizontal="left" vertical="top"/>
    </xf>
    <xf numFmtId="11" fontId="11" fillId="0" borderId="0" xfId="0" applyNumberFormat="1" applyFont="1" applyAlignment="1">
      <alignment horizontal="left" vertical="top"/>
    </xf>
    <xf numFmtId="3" fontId="11" fillId="0" borderId="0" xfId="0" applyNumberFormat="1" applyFont="1" applyAlignment="1">
      <alignment horizontal="left" vertical="top"/>
    </xf>
    <xf numFmtId="49" fontId="11" fillId="0" borderId="0" xfId="0" applyNumberFormat="1" applyFont="1" applyAlignment="1">
      <alignment horizontal="left" vertical="top"/>
    </xf>
    <xf numFmtId="173" fontId="11" fillId="0" borderId="0" xfId="0" applyNumberFormat="1" applyFont="1" applyAlignment="1">
      <alignment horizontal="left" vertical="top"/>
    </xf>
    <xf numFmtId="11" fontId="10" fillId="0" borderId="0" xfId="0" applyNumberFormat="1" applyFont="1" applyAlignment="1">
      <alignment horizontal="left" vertical="top"/>
    </xf>
    <xf numFmtId="0" fontId="14" fillId="0" borderId="0" xfId="0" applyFont="1" applyAlignment="1">
      <alignment horizontal="left" vertical="top"/>
    </xf>
    <xf numFmtId="3" fontId="14" fillId="0" borderId="0" xfId="0" applyNumberFormat="1" applyFont="1" applyAlignment="1">
      <alignment horizontal="left" vertical="top"/>
    </xf>
    <xf numFmtId="0" fontId="18" fillId="0" borderId="6" xfId="0" applyFont="1" applyBorder="1" applyAlignment="1">
      <alignment horizontal="left" vertical="top" wrapText="1"/>
    </xf>
    <xf numFmtId="0" fontId="19" fillId="0" borderId="6" xfId="0" applyFont="1" applyBorder="1" applyAlignment="1">
      <alignment horizontal="left" vertical="top" wrapText="1"/>
    </xf>
    <xf numFmtId="0" fontId="20" fillId="0" borderId="6" xfId="0" applyFont="1" applyBorder="1" applyAlignment="1">
      <alignment horizontal="left" vertical="top" wrapText="1"/>
    </xf>
    <xf numFmtId="173" fontId="19" fillId="0" borderId="6" xfId="0" applyNumberFormat="1" applyFont="1" applyBorder="1" applyAlignment="1">
      <alignment horizontal="left" vertical="top" wrapText="1"/>
    </xf>
    <xf numFmtId="0" fontId="22" fillId="0" borderId="0" xfId="0" applyFont="1"/>
    <xf numFmtId="1" fontId="19" fillId="0" borderId="6" xfId="0" applyNumberFormat="1" applyFont="1" applyBorder="1" applyAlignment="1">
      <alignment horizontal="left" vertical="top" wrapText="1"/>
    </xf>
    <xf numFmtId="0" fontId="19" fillId="0" borderId="0" xfId="0" applyFont="1" applyAlignment="1">
      <alignment horizontal="left" vertical="top" wrapText="1"/>
    </xf>
    <xf numFmtId="0" fontId="23" fillId="0" borderId="0" xfId="0" applyFont="1" applyAlignment="1">
      <alignment horizontal="left" vertical="top" wrapText="1"/>
    </xf>
    <xf numFmtId="11" fontId="23" fillId="0" borderId="0" xfId="0" applyNumberFormat="1" applyFont="1" applyAlignment="1">
      <alignment horizontal="left" vertical="top" wrapText="1"/>
    </xf>
    <xf numFmtId="2" fontId="23" fillId="0" borderId="0" xfId="0" applyNumberFormat="1" applyFont="1" applyAlignment="1">
      <alignment horizontal="left" vertical="top" wrapText="1"/>
    </xf>
    <xf numFmtId="170" fontId="23" fillId="0" borderId="0" xfId="0" applyNumberFormat="1" applyFont="1" applyAlignment="1">
      <alignment horizontal="left" vertical="top" wrapText="1"/>
    </xf>
    <xf numFmtId="170" fontId="19" fillId="0" borderId="0" xfId="0" applyNumberFormat="1" applyFont="1" applyAlignment="1">
      <alignment horizontal="left" vertical="top" wrapText="1"/>
    </xf>
    <xf numFmtId="11" fontId="19" fillId="0" borderId="0" xfId="0" applyNumberFormat="1" applyFont="1" applyAlignment="1">
      <alignment horizontal="left" vertical="top" wrapText="1"/>
    </xf>
    <xf numFmtId="2" fontId="19" fillId="0" borderId="0" xfId="0" applyNumberFormat="1" applyFont="1" applyAlignment="1">
      <alignment horizontal="left" vertical="top" wrapText="1"/>
    </xf>
    <xf numFmtId="2" fontId="19" fillId="0" borderId="0" xfId="0" applyNumberFormat="1" applyFont="1" applyAlignment="1">
      <alignment horizontal="left" vertical="top"/>
    </xf>
    <xf numFmtId="0" fontId="19" fillId="0" borderId="0" xfId="0" applyFont="1" applyAlignment="1">
      <alignment horizontal="left" vertical="top"/>
    </xf>
    <xf numFmtId="1" fontId="23" fillId="0" borderId="0" xfId="0" applyNumberFormat="1" applyFont="1" applyAlignment="1">
      <alignment horizontal="left" vertical="top" wrapText="1"/>
    </xf>
    <xf numFmtId="172" fontId="23" fillId="0" borderId="0" xfId="0" applyNumberFormat="1" applyFont="1" applyAlignment="1">
      <alignment horizontal="left" vertical="top" wrapText="1"/>
    </xf>
    <xf numFmtId="172" fontId="19" fillId="0" borderId="0" xfId="0" applyNumberFormat="1" applyFont="1" applyAlignment="1">
      <alignment horizontal="left" vertical="top" wrapText="1"/>
    </xf>
    <xf numFmtId="0" fontId="25" fillId="0" borderId="6" xfId="0" applyFont="1" applyBorder="1" applyAlignment="1">
      <alignment horizontal="left" vertical="top" wrapText="1"/>
    </xf>
    <xf numFmtId="0" fontId="19" fillId="0" borderId="0" xfId="0" applyFont="1"/>
    <xf numFmtId="1" fontId="19" fillId="0" borderId="0" xfId="0" applyNumberFormat="1" applyFont="1" applyAlignment="1">
      <alignment horizontal="left" vertical="top" wrapText="1"/>
    </xf>
    <xf numFmtId="173" fontId="14" fillId="0" borderId="0" xfId="0" applyNumberFormat="1" applyFont="1" applyAlignment="1">
      <alignment horizontal="left" vertical="top"/>
    </xf>
    <xf numFmtId="0" fontId="28" fillId="0" borderId="0" xfId="0" applyFont="1" applyAlignment="1">
      <alignment horizontal="left" vertical="top"/>
    </xf>
    <xf numFmtId="0" fontId="29" fillId="0" borderId="0" xfId="0" applyFont="1" applyAlignment="1">
      <alignment horizontal="left" vertical="top"/>
    </xf>
    <xf numFmtId="0" fontId="28" fillId="0" borderId="0" xfId="0" applyFont="1"/>
    <xf numFmtId="0" fontId="29" fillId="0" borderId="0" xfId="0" applyFont="1"/>
    <xf numFmtId="0" fontId="32" fillId="0" borderId="0" xfId="0" applyFont="1" applyAlignment="1">
      <alignment horizontal="left" vertical="top" wrapText="1"/>
    </xf>
    <xf numFmtId="0" fontId="33" fillId="0" borderId="0" xfId="0" applyFont="1" applyAlignment="1">
      <alignment horizontal="left" vertical="top" wrapText="1"/>
    </xf>
    <xf numFmtId="0" fontId="34" fillId="0" borderId="0" xfId="0" applyFont="1" applyAlignment="1">
      <alignment horizontal="left" vertical="top" wrapText="1"/>
    </xf>
    <xf numFmtId="0" fontId="34" fillId="0" borderId="0" xfId="0" applyFont="1" applyAlignment="1">
      <alignment horizontal="left" vertical="top"/>
    </xf>
    <xf numFmtId="0" fontId="35" fillId="0" borderId="0" xfId="0" applyFont="1" applyAlignment="1">
      <alignment horizontal="left" vertical="top" wrapText="1"/>
    </xf>
    <xf numFmtId="0" fontId="36" fillId="0" borderId="0" xfId="0" applyFont="1" applyAlignment="1">
      <alignment vertical="center" wrapText="1"/>
    </xf>
    <xf numFmtId="0" fontId="8" fillId="0" borderId="0" xfId="0" applyFont="1"/>
    <xf numFmtId="0" fontId="10" fillId="0" borderId="0" xfId="0" applyFont="1"/>
    <xf numFmtId="174" fontId="0" fillId="0" borderId="0" xfId="3" applyNumberFormat="1" applyFont="1"/>
    <xf numFmtId="2" fontId="19" fillId="0" borderId="6" xfId="0" applyNumberFormat="1" applyFont="1" applyBorder="1" applyAlignment="1">
      <alignment horizontal="left" vertical="top" wrapText="1"/>
    </xf>
    <xf numFmtId="1" fontId="11" fillId="0" borderId="0" xfId="0" applyNumberFormat="1" applyFont="1" applyAlignment="1">
      <alignment horizontal="left" vertical="top"/>
    </xf>
    <xf numFmtId="170" fontId="19" fillId="0" borderId="6" xfId="0" applyNumberFormat="1" applyFont="1" applyBorder="1" applyAlignment="1">
      <alignment horizontal="left" vertical="top" wrapText="1"/>
    </xf>
    <xf numFmtId="0" fontId="32" fillId="0" borderId="0" xfId="0" applyFont="1"/>
    <xf numFmtId="0" fontId="34" fillId="0" borderId="0" xfId="0" applyFont="1" applyAlignment="1">
      <alignment vertical="center" wrapText="1"/>
    </xf>
    <xf numFmtId="0" fontId="32" fillId="0" borderId="0" xfId="0" applyFont="1" applyAlignment="1">
      <alignment vertical="center" wrapText="1"/>
    </xf>
    <xf numFmtId="0" fontId="32" fillId="0" borderId="0" xfId="0" applyFont="1" applyAlignment="1">
      <alignment horizontal="left" vertical="top"/>
    </xf>
    <xf numFmtId="0" fontId="38" fillId="0" borderId="8" xfId="0" applyFont="1" applyBorder="1" applyAlignment="1">
      <alignment horizontal="left" vertical="top" wrapText="1"/>
    </xf>
    <xf numFmtId="0" fontId="34" fillId="0" borderId="11" xfId="0" applyFont="1" applyBorder="1" applyAlignment="1">
      <alignment horizontal="left" vertical="top" wrapText="1"/>
    </xf>
    <xf numFmtId="0" fontId="34" fillId="0" borderId="9" xfId="0" applyFont="1" applyBorder="1" applyAlignment="1">
      <alignment horizontal="left" vertical="top" wrapText="1"/>
    </xf>
    <xf numFmtId="0" fontId="34" fillId="0" borderId="10" xfId="0" applyFont="1" applyBorder="1" applyAlignment="1">
      <alignment horizontal="left" vertical="top" wrapText="1"/>
    </xf>
    <xf numFmtId="0" fontId="34" fillId="0" borderId="7" xfId="0" applyFont="1" applyBorder="1" applyAlignment="1">
      <alignment horizontal="left" vertical="top" wrapText="1"/>
    </xf>
    <xf numFmtId="0" fontId="34" fillId="0" borderId="8" xfId="0" applyFont="1" applyBorder="1" applyAlignment="1">
      <alignment horizontal="left" vertical="top" wrapText="1"/>
    </xf>
    <xf numFmtId="0" fontId="32" fillId="0" borderId="6" xfId="0" applyFont="1" applyBorder="1" applyAlignment="1">
      <alignment horizontal="left" vertical="top"/>
    </xf>
    <xf numFmtId="0" fontId="32" fillId="0" borderId="6" xfId="0" applyFont="1" applyBorder="1" applyAlignment="1">
      <alignment horizontal="left" vertical="top" wrapText="1"/>
    </xf>
    <xf numFmtId="0" fontId="38" fillId="0" borderId="20" xfId="0" applyFont="1" applyBorder="1" applyAlignment="1">
      <alignment horizontal="left" vertical="top" wrapText="1"/>
    </xf>
    <xf numFmtId="0" fontId="19" fillId="4" borderId="0" xfId="0" applyFont="1" applyFill="1" applyAlignment="1">
      <alignment horizontal="left" vertical="top" wrapText="1"/>
    </xf>
    <xf numFmtId="2" fontId="19" fillId="4" borderId="0" xfId="0" applyNumberFormat="1" applyFont="1" applyFill="1" applyAlignment="1">
      <alignment horizontal="left" vertical="top" wrapText="1"/>
    </xf>
    <xf numFmtId="11" fontId="23" fillId="4" borderId="0" xfId="0" applyNumberFormat="1" applyFont="1" applyFill="1" applyAlignment="1">
      <alignment horizontal="left" vertical="top" wrapText="1"/>
    </xf>
    <xf numFmtId="2" fontId="23" fillId="4" borderId="0" xfId="0" applyNumberFormat="1" applyFont="1" applyFill="1" applyAlignment="1">
      <alignment horizontal="left" vertical="top" wrapText="1"/>
    </xf>
    <xf numFmtId="11" fontId="19" fillId="4" borderId="0" xfId="0" applyNumberFormat="1" applyFont="1" applyFill="1" applyAlignment="1">
      <alignment horizontal="left" vertical="top" wrapText="1"/>
    </xf>
    <xf numFmtId="0" fontId="15" fillId="2" borderId="21" xfId="0" applyFont="1" applyFill="1" applyBorder="1" applyAlignment="1">
      <alignment horizontal="left" vertical="top" wrapText="1"/>
    </xf>
    <xf numFmtId="0" fontId="16" fillId="3" borderId="21" xfId="0" applyFont="1" applyFill="1" applyBorder="1" applyAlignment="1">
      <alignment horizontal="left" vertical="top" wrapText="1"/>
    </xf>
    <xf numFmtId="173" fontId="15" fillId="2" borderId="21" xfId="0" applyNumberFormat="1" applyFont="1" applyFill="1" applyBorder="1" applyAlignment="1">
      <alignment horizontal="left" vertical="top" wrapText="1"/>
    </xf>
    <xf numFmtId="1" fontId="15" fillId="2" borderId="21" xfId="0" applyNumberFormat="1" applyFont="1" applyFill="1" applyBorder="1" applyAlignment="1">
      <alignment horizontal="left" vertical="top" wrapText="1"/>
    </xf>
    <xf numFmtId="0" fontId="20" fillId="0" borderId="6" xfId="0" applyFont="1" applyBorder="1" applyAlignment="1">
      <alignment vertical="center" wrapText="1"/>
    </xf>
    <xf numFmtId="0" fontId="20" fillId="0" borderId="6" xfId="0" applyFont="1" applyBorder="1" applyAlignment="1">
      <alignment vertical="center"/>
    </xf>
    <xf numFmtId="0" fontId="41" fillId="0" borderId="0" xfId="0" applyFont="1" applyAlignment="1">
      <alignment horizontal="left" vertical="top"/>
    </xf>
    <xf numFmtId="0" fontId="42" fillId="0" borderId="0" xfId="0" applyFont="1" applyAlignment="1">
      <alignment horizontal="left" vertical="top"/>
    </xf>
    <xf numFmtId="0" fontId="43" fillId="0" borderId="0" xfId="0" applyFont="1" applyAlignment="1">
      <alignment vertical="center"/>
    </xf>
    <xf numFmtId="0" fontId="42" fillId="0" borderId="0" xfId="0" applyFont="1"/>
    <xf numFmtId="0" fontId="44" fillId="0" borderId="0" xfId="0" applyFont="1"/>
    <xf numFmtId="0" fontId="46" fillId="0" borderId="0" xfId="0" applyFont="1" applyAlignment="1">
      <alignment horizontal="left" vertical="top"/>
    </xf>
    <xf numFmtId="0" fontId="47" fillId="0" borderId="0" xfId="0" applyFont="1" applyAlignment="1">
      <alignment horizontal="left" vertical="top"/>
    </xf>
    <xf numFmtId="0" fontId="12" fillId="0" borderId="0" xfId="0" applyFont="1"/>
    <xf numFmtId="0" fontId="13" fillId="0" borderId="0" xfId="0" applyFont="1" applyAlignment="1">
      <alignment horizontal="left" vertical="top"/>
    </xf>
    <xf numFmtId="11" fontId="13" fillId="0" borderId="0" xfId="0" applyNumberFormat="1" applyFont="1" applyAlignment="1">
      <alignment horizontal="left" vertical="top"/>
    </xf>
    <xf numFmtId="173" fontId="13" fillId="0" borderId="0" xfId="0" applyNumberFormat="1" applyFont="1" applyAlignment="1">
      <alignment horizontal="left" vertical="top"/>
    </xf>
    <xf numFmtId="2" fontId="13" fillId="0" borderId="0" xfId="0" applyNumberFormat="1" applyFont="1" applyAlignment="1">
      <alignment horizontal="left" vertical="top"/>
    </xf>
    <xf numFmtId="2" fontId="11" fillId="0" borderId="0" xfId="0" applyNumberFormat="1" applyFont="1" applyAlignment="1">
      <alignment horizontal="left" vertical="top"/>
    </xf>
    <xf numFmtId="2" fontId="14" fillId="0" borderId="0" xfId="0" applyNumberFormat="1" applyFont="1" applyAlignment="1">
      <alignment horizontal="left" vertical="top"/>
    </xf>
    <xf numFmtId="2" fontId="10" fillId="0" borderId="0" xfId="0" applyNumberFormat="1" applyFont="1" applyAlignment="1">
      <alignment horizontal="left" vertical="top"/>
    </xf>
    <xf numFmtId="1" fontId="14" fillId="0" borderId="0" xfId="0" applyNumberFormat="1" applyFont="1" applyAlignment="1">
      <alignment horizontal="left" vertical="top"/>
    </xf>
    <xf numFmtId="0" fontId="29" fillId="0" borderId="0" xfId="0" applyFont="1" applyAlignment="1">
      <alignment vertical="top"/>
    </xf>
    <xf numFmtId="0" fontId="28" fillId="0" borderId="0" xfId="0" applyFont="1" applyAlignment="1">
      <alignment vertical="top"/>
    </xf>
    <xf numFmtId="0" fontId="29" fillId="0" borderId="0" xfId="0" applyFont="1" applyAlignment="1">
      <alignment vertical="top" wrapText="1"/>
    </xf>
    <xf numFmtId="11" fontId="28" fillId="0" borderId="0" xfId="0" applyNumberFormat="1" applyFont="1" applyAlignment="1">
      <alignment vertical="top"/>
    </xf>
    <xf numFmtId="173" fontId="28" fillId="0" borderId="0" xfId="0" applyNumberFormat="1" applyFont="1" applyAlignment="1">
      <alignment horizontal="left" vertical="top"/>
    </xf>
    <xf numFmtId="0" fontId="28" fillId="0" borderId="0" xfId="0" applyFont="1" applyAlignment="1">
      <alignment horizontal="left" vertical="top" wrapText="1"/>
    </xf>
    <xf numFmtId="172" fontId="28" fillId="0" borderId="0" xfId="0" applyNumberFormat="1" applyFont="1" applyAlignment="1">
      <alignment horizontal="left" vertical="top" wrapText="1"/>
    </xf>
    <xf numFmtId="2" fontId="28" fillId="0" borderId="0" xfId="0" applyNumberFormat="1" applyFont="1" applyAlignment="1">
      <alignment horizontal="left" vertical="top"/>
    </xf>
    <xf numFmtId="173" fontId="29" fillId="0" borderId="0" xfId="0" applyNumberFormat="1" applyFont="1" applyAlignment="1">
      <alignment horizontal="left" vertical="top" wrapText="1"/>
    </xf>
    <xf numFmtId="0" fontId="29" fillId="0" borderId="0" xfId="0" applyFont="1" applyAlignment="1">
      <alignment horizontal="left" vertical="top" wrapText="1"/>
    </xf>
    <xf numFmtId="172" fontId="29" fillId="0" borderId="0" xfId="0" applyNumberFormat="1" applyFont="1" applyAlignment="1">
      <alignment horizontal="left" vertical="top" wrapText="1"/>
    </xf>
    <xf numFmtId="2" fontId="29" fillId="0" borderId="0" xfId="0" applyNumberFormat="1" applyFont="1" applyAlignment="1">
      <alignment horizontal="left" vertical="top" wrapText="1"/>
    </xf>
    <xf numFmtId="0" fontId="45" fillId="0" borderId="0" xfId="0" applyFont="1" applyAlignment="1">
      <alignment horizontal="left" vertical="top" wrapText="1"/>
    </xf>
    <xf numFmtId="173" fontId="30" fillId="0" borderId="0" xfId="1" applyNumberFormat="1" applyFont="1" applyAlignment="1">
      <alignment horizontal="left" vertical="top" wrapText="1"/>
    </xf>
    <xf numFmtId="173" fontId="28" fillId="0" borderId="0" xfId="0" applyNumberFormat="1" applyFont="1" applyAlignment="1">
      <alignment horizontal="left" vertical="top" wrapText="1"/>
    </xf>
    <xf numFmtId="0" fontId="31" fillId="0" borderId="0" xfId="0" applyFont="1" applyAlignment="1">
      <alignment horizontal="left" vertical="top"/>
    </xf>
    <xf numFmtId="0" fontId="48" fillId="0" borderId="0" xfId="6" applyAlignment="1">
      <alignment horizontal="left" vertical="top"/>
    </xf>
    <xf numFmtId="0" fontId="47" fillId="0" borderId="0" xfId="0" applyFont="1"/>
    <xf numFmtId="172" fontId="11" fillId="0" borderId="0" xfId="0" applyNumberFormat="1" applyFont="1" applyAlignment="1">
      <alignment horizontal="left" vertical="top"/>
    </xf>
    <xf numFmtId="170" fontId="11" fillId="0" borderId="0" xfId="0" applyNumberFormat="1" applyFont="1" applyAlignment="1">
      <alignment horizontal="left" vertical="top"/>
    </xf>
    <xf numFmtId="0" fontId="18" fillId="0" borderId="0" xfId="0" applyFont="1" applyAlignment="1">
      <alignment horizontal="left" vertical="top" wrapText="1"/>
    </xf>
    <xf numFmtId="0" fontId="49" fillId="0" borderId="0" xfId="6" applyFont="1" applyAlignment="1">
      <alignment horizontal="left" vertical="top" wrapText="1"/>
    </xf>
    <xf numFmtId="2" fontId="28" fillId="0" borderId="0" xfId="0" applyNumberFormat="1" applyFont="1" applyAlignment="1">
      <alignment horizontal="left" vertical="top" wrapText="1"/>
    </xf>
    <xf numFmtId="2" fontId="46" fillId="0" borderId="0" xfId="0" applyNumberFormat="1" applyFont="1" applyAlignment="1">
      <alignment horizontal="left" vertical="top"/>
    </xf>
    <xf numFmtId="2" fontId="0" fillId="0" borderId="0" xfId="0" applyNumberFormat="1" applyAlignment="1">
      <alignment horizontal="left" vertical="top"/>
    </xf>
    <xf numFmtId="1" fontId="13" fillId="0" borderId="0" xfId="0" applyNumberFormat="1" applyFont="1" applyAlignment="1">
      <alignment horizontal="left" vertical="top"/>
    </xf>
    <xf numFmtId="1" fontId="10" fillId="0" borderId="0" xfId="0" applyNumberFormat="1" applyFont="1" applyAlignment="1">
      <alignment horizontal="left" vertical="top"/>
    </xf>
    <xf numFmtId="2" fontId="0" fillId="0" borderId="0" xfId="0" applyNumberFormat="1"/>
    <xf numFmtId="0" fontId="50" fillId="0" borderId="0" xfId="0" applyFont="1"/>
    <xf numFmtId="0" fontId="11" fillId="0" borderId="0" xfId="0" applyFont="1"/>
    <xf numFmtId="0" fontId="51" fillId="0" borderId="0" xfId="0" applyFont="1"/>
    <xf numFmtId="0" fontId="52" fillId="0" borderId="0" xfId="6" applyFont="1" applyFill="1"/>
    <xf numFmtId="173" fontId="10" fillId="0" borderId="0" xfId="0" applyNumberFormat="1" applyFont="1"/>
    <xf numFmtId="173" fontId="11" fillId="0" borderId="0" xfId="0" applyNumberFormat="1" applyFont="1"/>
    <xf numFmtId="11" fontId="13" fillId="5" borderId="0" xfId="0" applyNumberFormat="1" applyFont="1" applyFill="1" applyAlignment="1">
      <alignment horizontal="left" vertical="top"/>
    </xf>
    <xf numFmtId="11" fontId="11" fillId="5" borderId="0" xfId="0" applyNumberFormat="1" applyFont="1" applyFill="1" applyAlignment="1">
      <alignment horizontal="left" vertical="top"/>
    </xf>
    <xf numFmtId="11" fontId="10" fillId="5" borderId="0" xfId="0" applyNumberFormat="1" applyFont="1" applyFill="1" applyAlignment="1">
      <alignment horizontal="left" vertical="top"/>
    </xf>
    <xf numFmtId="0" fontId="10" fillId="5" borderId="0" xfId="0" applyFont="1" applyFill="1" applyAlignment="1">
      <alignment horizontal="left" vertical="top"/>
    </xf>
    <xf numFmtId="0" fontId="2" fillId="0" borderId="4" xfId="0" applyFont="1" applyBorder="1" applyAlignment="1">
      <alignment horizontal="left" vertical="top"/>
    </xf>
    <xf numFmtId="0" fontId="2" fillId="0" borderId="3" xfId="0" applyFont="1" applyBorder="1" applyAlignment="1">
      <alignment horizontal="left" vertical="top"/>
    </xf>
    <xf numFmtId="0" fontId="2" fillId="0" borderId="5" xfId="0" applyFont="1" applyBorder="1" applyAlignment="1">
      <alignment horizontal="left" vertical="top"/>
    </xf>
    <xf numFmtId="11" fontId="2" fillId="0" borderId="4" xfId="0" applyNumberFormat="1" applyFont="1" applyBorder="1" applyAlignment="1">
      <alignment horizontal="left" vertical="top"/>
    </xf>
    <xf numFmtId="11" fontId="2" fillId="0" borderId="3" xfId="0" applyNumberFormat="1" applyFont="1" applyBorder="1" applyAlignment="1">
      <alignment horizontal="left" vertical="top"/>
    </xf>
    <xf numFmtId="11" fontId="2" fillId="0" borderId="5" xfId="0" applyNumberFormat="1" applyFont="1" applyBorder="1" applyAlignment="1">
      <alignment horizontal="left" vertical="top"/>
    </xf>
    <xf numFmtId="164" fontId="2" fillId="0" borderId="4" xfId="0" applyNumberFormat="1" applyFont="1" applyBorder="1" applyAlignment="1">
      <alignment horizontal="left" vertical="top"/>
    </xf>
    <xf numFmtId="164" fontId="2" fillId="0" borderId="3" xfId="0" applyNumberFormat="1" applyFont="1" applyBorder="1" applyAlignment="1">
      <alignment horizontal="left" vertical="top"/>
    </xf>
    <xf numFmtId="164" fontId="2" fillId="0" borderId="5" xfId="0" applyNumberFormat="1" applyFont="1" applyBorder="1" applyAlignment="1">
      <alignment horizontal="left" vertical="top"/>
    </xf>
    <xf numFmtId="0" fontId="2" fillId="0" borderId="4" xfId="0" applyFont="1" applyBorder="1" applyAlignment="1">
      <alignment horizontal="center" vertical="top"/>
    </xf>
    <xf numFmtId="0" fontId="2" fillId="0" borderId="3" xfId="0" applyFont="1" applyBorder="1" applyAlignment="1">
      <alignment horizontal="center" vertical="top"/>
    </xf>
    <xf numFmtId="0" fontId="2" fillId="0" borderId="5" xfId="0" applyFont="1" applyBorder="1" applyAlignment="1">
      <alignment horizontal="center" vertical="top"/>
    </xf>
    <xf numFmtId="164" fontId="2" fillId="0" borderId="4" xfId="0" applyNumberFormat="1" applyFont="1" applyBorder="1" applyAlignment="1">
      <alignment horizontal="center" vertical="top"/>
    </xf>
    <xf numFmtId="164" fontId="2" fillId="0" borderId="3" xfId="0" applyNumberFormat="1" applyFont="1" applyBorder="1" applyAlignment="1">
      <alignment horizontal="center" vertical="top"/>
    </xf>
    <xf numFmtId="164" fontId="2" fillId="0" borderId="5" xfId="0" applyNumberFormat="1" applyFont="1" applyBorder="1" applyAlignment="1">
      <alignment horizontal="center" vertical="top"/>
    </xf>
    <xf numFmtId="0" fontId="29" fillId="0" borderId="0" xfId="0" applyFont="1" applyAlignment="1">
      <alignment horizontal="left" wrapText="1"/>
    </xf>
    <xf numFmtId="0" fontId="38" fillId="0" borderId="13" xfId="0" applyFont="1" applyBorder="1" applyAlignment="1">
      <alignment horizontal="left" vertical="top" wrapText="1"/>
    </xf>
    <xf numFmtId="0" fontId="38" fillId="0" borderId="11" xfId="0" applyFont="1" applyBorder="1" applyAlignment="1">
      <alignment horizontal="left" vertical="top" wrapText="1"/>
    </xf>
    <xf numFmtId="0" fontId="38" fillId="0" borderId="16" xfId="0" applyFont="1" applyBorder="1" applyAlignment="1">
      <alignment horizontal="left" vertical="top" wrapText="1"/>
    </xf>
    <xf numFmtId="0" fontId="38" fillId="0" borderId="14" xfId="0" applyFont="1" applyBorder="1" applyAlignment="1">
      <alignment horizontal="left" vertical="top" wrapText="1"/>
    </xf>
    <xf numFmtId="0" fontId="38" fillId="0" borderId="15" xfId="0" applyFont="1" applyBorder="1" applyAlignment="1">
      <alignment horizontal="left" vertical="top" wrapText="1"/>
    </xf>
    <xf numFmtId="0" fontId="38" fillId="0" borderId="17" xfId="0" applyFont="1" applyBorder="1" applyAlignment="1">
      <alignment horizontal="left" vertical="top" wrapText="1"/>
    </xf>
    <xf numFmtId="0" fontId="38" fillId="0" borderId="12" xfId="0" applyFont="1" applyBorder="1" applyAlignment="1">
      <alignment horizontal="left" vertical="top" wrapText="1"/>
    </xf>
    <xf numFmtId="0" fontId="38" fillId="0" borderId="8" xfId="0" applyFont="1" applyBorder="1" applyAlignment="1">
      <alignment horizontal="left" vertical="top" wrapText="1"/>
    </xf>
    <xf numFmtId="0" fontId="34" fillId="0" borderId="13" xfId="0" applyFont="1" applyBorder="1" applyAlignment="1">
      <alignment horizontal="left" vertical="top" wrapText="1"/>
    </xf>
    <xf numFmtId="0" fontId="34" fillId="0" borderId="11" xfId="0" applyFont="1" applyBorder="1" applyAlignment="1">
      <alignment horizontal="left" vertical="top" wrapText="1"/>
    </xf>
    <xf numFmtId="0" fontId="34" fillId="0" borderId="10" xfId="0" applyFont="1" applyBorder="1" applyAlignment="1">
      <alignment horizontal="left" vertical="top" wrapText="1"/>
    </xf>
    <xf numFmtId="0" fontId="38" fillId="0" borderId="10" xfId="0" applyFont="1" applyBorder="1" applyAlignment="1">
      <alignment horizontal="left" vertical="top" wrapText="1"/>
    </xf>
    <xf numFmtId="0" fontId="34" fillId="0" borderId="9" xfId="0" applyFont="1" applyBorder="1" applyAlignment="1">
      <alignment horizontal="left" vertical="top" wrapText="1"/>
    </xf>
    <xf numFmtId="0" fontId="32" fillId="0" borderId="19" xfId="0" applyFont="1" applyBorder="1" applyAlignment="1">
      <alignment vertical="center" wrapText="1"/>
    </xf>
    <xf numFmtId="0" fontId="36" fillId="0" borderId="0" xfId="0" applyFont="1" applyAlignment="1">
      <alignment vertical="center" wrapText="1"/>
    </xf>
    <xf numFmtId="0" fontId="34" fillId="0" borderId="18" xfId="0" applyFont="1" applyBorder="1" applyAlignment="1">
      <alignment horizontal="left" vertical="top" wrapText="1"/>
    </xf>
    <xf numFmtId="0" fontId="29" fillId="0" borderId="0" xfId="0" applyFont="1" applyAlignment="1">
      <alignment horizontal="left" vertical="top" wrapText="1"/>
    </xf>
  </cellXfs>
  <cellStyles count="7">
    <cellStyle name="Comma" xfId="3" builtinId="3"/>
    <cellStyle name="Hyperlink" xfId="6" builtinId="8"/>
    <cellStyle name="Monétaire 2" xfId="5" xr:uid="{9BA38AC2-6C1C-4A3E-BB61-92EF2BB317AE}"/>
    <cellStyle name="Normal" xfId="0" builtinId="0"/>
    <cellStyle name="Normal 2" xfId="1" xr:uid="{C41894E4-48B5-4D7E-8331-E7B9E0E402DA}"/>
    <cellStyle name="Normal 2 2" xfId="4" xr:uid="{139D26D0-632E-4845-82E1-9732213227AC}"/>
    <cellStyle name="Normal 3" xfId="2" xr:uid="{8706B16F-861E-405A-8050-3F419DAB8C24}"/>
  </cellStyles>
  <dxfs count="1">
    <dxf>
      <numFmt numFmtId="15" formatCode="0.00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none"/>
          </c:marker>
          <c:xVal>
            <c:numRef>
              <c:f>'6'!$N$2:$N$3</c:f>
              <c:numCache>
                <c:formatCode>0.00E+00</c:formatCode>
                <c:ptCount val="2"/>
                <c:pt idx="0">
                  <c:v>2.0000000000000001E-17</c:v>
                </c:pt>
                <c:pt idx="1">
                  <c:v>1.0000000000000001E-15</c:v>
                </c:pt>
              </c:numCache>
            </c:numRef>
          </c:xVal>
          <c:yVal>
            <c:numRef>
              <c:f>'6'!$P$2:$P$3</c:f>
              <c:numCache>
                <c:formatCode>General</c:formatCode>
                <c:ptCount val="2"/>
                <c:pt idx="0">
                  <c:v>11</c:v>
                </c:pt>
                <c:pt idx="1">
                  <c:v>11</c:v>
                </c:pt>
              </c:numCache>
            </c:numRef>
          </c:yVal>
          <c:smooth val="1"/>
          <c:extLst>
            <c:ext xmlns:c16="http://schemas.microsoft.com/office/drawing/2014/chart" uri="{C3380CC4-5D6E-409C-BE32-E72D297353CC}">
              <c16:uniqueId val="{00000000-3BE1-457E-8909-8892DFB6429D}"/>
            </c:ext>
          </c:extLst>
        </c:ser>
        <c:ser>
          <c:idx val="1"/>
          <c:order val="1"/>
          <c:tx>
            <c:v>bacteria</c:v>
          </c:tx>
          <c:spPr>
            <a:ln w="19050" cap="rnd">
              <a:solidFill>
                <a:schemeClr val="accent3"/>
              </a:solidFill>
              <a:round/>
            </a:ln>
            <a:effectLst/>
          </c:spPr>
          <c:marker>
            <c:symbol val="none"/>
          </c:marker>
          <c:xVal>
            <c:numRef>
              <c:f>'6'!$N$4:$N$5</c:f>
              <c:numCache>
                <c:formatCode>0.00E+00</c:formatCode>
                <c:ptCount val="2"/>
                <c:pt idx="0">
                  <c:v>1.4999999999999999E-15</c:v>
                </c:pt>
                <c:pt idx="1">
                  <c:v>8.885E-13</c:v>
                </c:pt>
              </c:numCache>
            </c:numRef>
          </c:xVal>
          <c:yVal>
            <c:numRef>
              <c:f>'6'!$P$4:$P$5</c:f>
              <c:numCache>
                <c:formatCode>General</c:formatCode>
                <c:ptCount val="2"/>
                <c:pt idx="0">
                  <c:v>10</c:v>
                </c:pt>
                <c:pt idx="1">
                  <c:v>10</c:v>
                </c:pt>
              </c:numCache>
            </c:numRef>
          </c:yVal>
          <c:smooth val="1"/>
          <c:extLst>
            <c:ext xmlns:c16="http://schemas.microsoft.com/office/drawing/2014/chart" uri="{C3380CC4-5D6E-409C-BE32-E72D297353CC}">
              <c16:uniqueId val="{00000001-3BE1-457E-8909-8892DFB6429D}"/>
            </c:ext>
          </c:extLst>
        </c:ser>
        <c:ser>
          <c:idx val="2"/>
          <c:order val="2"/>
          <c:tx>
            <c:v>macroinverts</c:v>
          </c:tx>
          <c:spPr>
            <a:ln w="19050" cap="rnd">
              <a:solidFill>
                <a:schemeClr val="accent5"/>
              </a:solidFill>
              <a:round/>
            </a:ln>
            <a:effectLst/>
          </c:spPr>
          <c:marker>
            <c:symbol val="none"/>
          </c:marker>
          <c:xVal>
            <c:numRef>
              <c:f>'6'!$N$10:$N$11</c:f>
              <c:numCache>
                <c:formatCode>0.00E+00</c:formatCode>
                <c:ptCount val="2"/>
                <c:pt idx="0">
                  <c:v>1E-4</c:v>
                </c:pt>
                <c:pt idx="1">
                  <c:v>2</c:v>
                </c:pt>
              </c:numCache>
            </c:numRef>
          </c:xVal>
          <c:yVal>
            <c:numRef>
              <c:f>'6'!$P$10:$P$11</c:f>
              <c:numCache>
                <c:formatCode>General</c:formatCode>
                <c:ptCount val="2"/>
                <c:pt idx="0">
                  <c:v>9</c:v>
                </c:pt>
                <c:pt idx="1">
                  <c:v>9</c:v>
                </c:pt>
              </c:numCache>
            </c:numRef>
          </c:yVal>
          <c:smooth val="1"/>
          <c:extLst>
            <c:ext xmlns:c16="http://schemas.microsoft.com/office/drawing/2014/chart" uri="{C3380CC4-5D6E-409C-BE32-E72D297353CC}">
              <c16:uniqueId val="{00000002-3BE1-457E-8909-8892DFB6429D}"/>
            </c:ext>
          </c:extLst>
        </c:ser>
        <c:ser>
          <c:idx val="3"/>
          <c:order val="3"/>
          <c:tx>
            <c:v>protists</c:v>
          </c:tx>
          <c:spPr>
            <a:ln w="19050" cap="rnd">
              <a:solidFill>
                <a:schemeClr val="accent1">
                  <a:lumMod val="60000"/>
                </a:schemeClr>
              </a:solidFill>
              <a:round/>
            </a:ln>
            <a:effectLst/>
          </c:spPr>
          <c:marker>
            <c:symbol val="none"/>
          </c:marker>
          <c:xVal>
            <c:numRef>
              <c:f>'6'!$N$6:$N$7</c:f>
              <c:numCache>
                <c:formatCode>0.00E+00</c:formatCode>
                <c:ptCount val="2"/>
                <c:pt idx="0">
                  <c:v>8.0000000000000002E-13</c:v>
                </c:pt>
                <c:pt idx="1">
                  <c:v>1.8801286659413292E-6</c:v>
                </c:pt>
              </c:numCache>
            </c:numRef>
          </c:xVal>
          <c:yVal>
            <c:numRef>
              <c:f>'6'!$P$6:$P$7</c:f>
              <c:numCache>
                <c:formatCode>General</c:formatCode>
                <c:ptCount val="2"/>
                <c:pt idx="0">
                  <c:v>5</c:v>
                </c:pt>
                <c:pt idx="1">
                  <c:v>5</c:v>
                </c:pt>
              </c:numCache>
            </c:numRef>
          </c:yVal>
          <c:smooth val="1"/>
          <c:extLst>
            <c:ext xmlns:c16="http://schemas.microsoft.com/office/drawing/2014/chart" uri="{C3380CC4-5D6E-409C-BE32-E72D297353CC}">
              <c16:uniqueId val="{00000003-3BE1-457E-8909-8892DFB6429D}"/>
            </c:ext>
          </c:extLst>
        </c:ser>
        <c:ser>
          <c:idx val="4"/>
          <c:order val="4"/>
          <c:tx>
            <c:v>micrometazoans</c:v>
          </c:tx>
          <c:spPr>
            <a:ln w="19050" cap="rnd">
              <a:solidFill>
                <a:schemeClr val="accent3">
                  <a:lumMod val="60000"/>
                </a:schemeClr>
              </a:solidFill>
              <a:round/>
            </a:ln>
            <a:effectLst/>
          </c:spPr>
          <c:marker>
            <c:symbol val="none"/>
          </c:marker>
          <c:xVal>
            <c:numRef>
              <c:f>'6'!$N$8:$N$9</c:f>
              <c:numCache>
                <c:formatCode>0.00E+00</c:formatCode>
                <c:ptCount val="2"/>
                <c:pt idx="0">
                  <c:v>3.9543161280887781E-9</c:v>
                </c:pt>
                <c:pt idx="1">
                  <c:v>1E-4</c:v>
                </c:pt>
              </c:numCache>
            </c:numRef>
          </c:xVal>
          <c:yVal>
            <c:numRef>
              <c:f>'6'!$P$8:$P$9</c:f>
              <c:numCache>
                <c:formatCode>General</c:formatCode>
                <c:ptCount val="2"/>
                <c:pt idx="0">
                  <c:v>3</c:v>
                </c:pt>
                <c:pt idx="1">
                  <c:v>3</c:v>
                </c:pt>
              </c:numCache>
            </c:numRef>
          </c:yVal>
          <c:smooth val="1"/>
          <c:extLst>
            <c:ext xmlns:c16="http://schemas.microsoft.com/office/drawing/2014/chart" uri="{C3380CC4-5D6E-409C-BE32-E72D297353CC}">
              <c16:uniqueId val="{00000004-3BE1-457E-8909-8892DFB6429D}"/>
            </c:ext>
          </c:extLst>
        </c:ser>
        <c:ser>
          <c:idx val="5"/>
          <c:order val="5"/>
          <c:tx>
            <c:v>atto</c:v>
          </c:tx>
          <c:spPr>
            <a:ln w="19050" cap="rnd">
              <a:solidFill>
                <a:schemeClr val="accent5">
                  <a:lumMod val="60000"/>
                </a:schemeClr>
              </a:solidFill>
              <a:round/>
            </a:ln>
            <a:effectLst/>
          </c:spPr>
          <c:marker>
            <c:symbol val="none"/>
          </c:marker>
          <c:xVal>
            <c:numRef>
              <c:f>'6'!$W$11:$W$12</c:f>
              <c:numCache>
                <c:formatCode>0.00E+00</c:formatCode>
                <c:ptCount val="2"/>
                <c:pt idx="0">
                  <c:v>1.0000000000000001E-15</c:v>
                </c:pt>
                <c:pt idx="1">
                  <c:v>1.0000000000000001E-18</c:v>
                </c:pt>
              </c:numCache>
            </c:numRef>
          </c:xVal>
          <c:yVal>
            <c:numRef>
              <c:f>'6'!$X$11:$X$12</c:f>
              <c:numCache>
                <c:formatCode>General</c:formatCode>
                <c:ptCount val="2"/>
                <c:pt idx="0">
                  <c:v>1</c:v>
                </c:pt>
                <c:pt idx="1">
                  <c:v>1</c:v>
                </c:pt>
              </c:numCache>
            </c:numRef>
          </c:yVal>
          <c:smooth val="1"/>
          <c:extLst>
            <c:ext xmlns:c16="http://schemas.microsoft.com/office/drawing/2014/chart" uri="{C3380CC4-5D6E-409C-BE32-E72D297353CC}">
              <c16:uniqueId val="{00000005-3BE1-457E-8909-8892DFB6429D}"/>
            </c:ext>
          </c:extLst>
        </c:ser>
        <c:ser>
          <c:idx val="6"/>
          <c:order val="6"/>
          <c:tx>
            <c:v>femto</c:v>
          </c:tx>
          <c:spPr>
            <a:ln w="19050" cap="rnd">
              <a:solidFill>
                <a:schemeClr val="accent1">
                  <a:lumMod val="80000"/>
                  <a:lumOff val="20000"/>
                </a:schemeClr>
              </a:solidFill>
              <a:round/>
            </a:ln>
            <a:effectLst/>
          </c:spPr>
          <c:marker>
            <c:symbol val="none"/>
          </c:marker>
          <c:xVal>
            <c:numRef>
              <c:f>'6'!$W$9:$W$10</c:f>
              <c:numCache>
                <c:formatCode>0.00E+00</c:formatCode>
                <c:ptCount val="2"/>
                <c:pt idx="0">
                  <c:v>9.9999999999999998E-13</c:v>
                </c:pt>
                <c:pt idx="1">
                  <c:v>1.0000000000000001E-15</c:v>
                </c:pt>
              </c:numCache>
            </c:numRef>
          </c:xVal>
          <c:yVal>
            <c:numRef>
              <c:f>'6'!$X$9:$X$10</c:f>
              <c:numCache>
                <c:formatCode>General</c:formatCode>
                <c:ptCount val="2"/>
                <c:pt idx="0">
                  <c:v>1</c:v>
                </c:pt>
                <c:pt idx="1">
                  <c:v>1</c:v>
                </c:pt>
              </c:numCache>
            </c:numRef>
          </c:yVal>
          <c:smooth val="1"/>
          <c:extLst>
            <c:ext xmlns:c16="http://schemas.microsoft.com/office/drawing/2014/chart" uri="{C3380CC4-5D6E-409C-BE32-E72D297353CC}">
              <c16:uniqueId val="{00000006-3BE1-457E-8909-8892DFB6429D}"/>
            </c:ext>
          </c:extLst>
        </c:ser>
        <c:ser>
          <c:idx val="7"/>
          <c:order val="7"/>
          <c:tx>
            <c:v>pico</c:v>
          </c:tx>
          <c:spPr>
            <a:ln w="19050" cap="rnd">
              <a:solidFill>
                <a:schemeClr val="accent3">
                  <a:lumMod val="80000"/>
                  <a:lumOff val="20000"/>
                </a:schemeClr>
              </a:solidFill>
              <a:round/>
            </a:ln>
            <a:effectLst/>
          </c:spPr>
          <c:marker>
            <c:symbol val="none"/>
          </c:marker>
          <c:xVal>
            <c:numRef>
              <c:f>'6'!$W$7:$W$8</c:f>
              <c:numCache>
                <c:formatCode>0.00E+00</c:formatCode>
                <c:ptCount val="2"/>
                <c:pt idx="0">
                  <c:v>1.0000000000000001E-9</c:v>
                </c:pt>
                <c:pt idx="1">
                  <c:v>9.9999999999999998E-13</c:v>
                </c:pt>
              </c:numCache>
            </c:numRef>
          </c:xVal>
          <c:yVal>
            <c:numRef>
              <c:f>'6'!$X$7:$X$8</c:f>
              <c:numCache>
                <c:formatCode>General</c:formatCode>
                <c:ptCount val="2"/>
                <c:pt idx="0">
                  <c:v>1</c:v>
                </c:pt>
                <c:pt idx="1">
                  <c:v>1</c:v>
                </c:pt>
              </c:numCache>
            </c:numRef>
          </c:yVal>
          <c:smooth val="1"/>
          <c:extLst>
            <c:ext xmlns:c16="http://schemas.microsoft.com/office/drawing/2014/chart" uri="{C3380CC4-5D6E-409C-BE32-E72D297353CC}">
              <c16:uniqueId val="{00000007-3BE1-457E-8909-8892DFB6429D}"/>
            </c:ext>
          </c:extLst>
        </c:ser>
        <c:ser>
          <c:idx val="8"/>
          <c:order val="8"/>
          <c:tx>
            <c:v>nano</c:v>
          </c:tx>
          <c:spPr>
            <a:ln w="19050" cap="rnd">
              <a:solidFill>
                <a:schemeClr val="accent5">
                  <a:lumMod val="80000"/>
                  <a:lumOff val="20000"/>
                </a:schemeClr>
              </a:solidFill>
              <a:round/>
            </a:ln>
            <a:effectLst/>
          </c:spPr>
          <c:marker>
            <c:symbol val="none"/>
          </c:marker>
          <c:xVal>
            <c:numRef>
              <c:f>'6'!$W$5:$W$6</c:f>
              <c:numCache>
                <c:formatCode>0.00E+00</c:formatCode>
                <c:ptCount val="2"/>
                <c:pt idx="0">
                  <c:v>9.9999999999999995E-7</c:v>
                </c:pt>
                <c:pt idx="1">
                  <c:v>1.0000000000000001E-9</c:v>
                </c:pt>
              </c:numCache>
            </c:numRef>
          </c:xVal>
          <c:yVal>
            <c:numRef>
              <c:f>'6'!$X$5:$X$6</c:f>
              <c:numCache>
                <c:formatCode>General</c:formatCode>
                <c:ptCount val="2"/>
                <c:pt idx="0">
                  <c:v>1</c:v>
                </c:pt>
                <c:pt idx="1">
                  <c:v>1</c:v>
                </c:pt>
              </c:numCache>
            </c:numRef>
          </c:yVal>
          <c:smooth val="1"/>
          <c:extLst>
            <c:ext xmlns:c16="http://schemas.microsoft.com/office/drawing/2014/chart" uri="{C3380CC4-5D6E-409C-BE32-E72D297353CC}">
              <c16:uniqueId val="{00000008-3BE1-457E-8909-8892DFB6429D}"/>
            </c:ext>
          </c:extLst>
        </c:ser>
        <c:ser>
          <c:idx val="9"/>
          <c:order val="9"/>
          <c:tx>
            <c:v>micro</c:v>
          </c:tx>
          <c:spPr>
            <a:ln w="19050" cap="rnd">
              <a:solidFill>
                <a:schemeClr val="accent1">
                  <a:lumMod val="80000"/>
                </a:schemeClr>
              </a:solidFill>
              <a:round/>
            </a:ln>
            <a:effectLst/>
          </c:spPr>
          <c:marker>
            <c:symbol val="none"/>
          </c:marker>
          <c:xVal>
            <c:numRef>
              <c:f>'6'!$W$3:$W$4</c:f>
              <c:numCache>
                <c:formatCode>0.00E+00</c:formatCode>
                <c:ptCount val="2"/>
                <c:pt idx="0">
                  <c:v>1E-3</c:v>
                </c:pt>
                <c:pt idx="1">
                  <c:v>9.9999999999999995E-7</c:v>
                </c:pt>
              </c:numCache>
            </c:numRef>
          </c:xVal>
          <c:yVal>
            <c:numRef>
              <c:f>'6'!$X$3:$X$4</c:f>
              <c:numCache>
                <c:formatCode>General</c:formatCode>
                <c:ptCount val="2"/>
                <c:pt idx="0">
                  <c:v>1</c:v>
                </c:pt>
                <c:pt idx="1">
                  <c:v>1</c:v>
                </c:pt>
              </c:numCache>
            </c:numRef>
          </c:yVal>
          <c:smooth val="1"/>
          <c:extLst>
            <c:ext xmlns:c16="http://schemas.microsoft.com/office/drawing/2014/chart" uri="{C3380CC4-5D6E-409C-BE32-E72D297353CC}">
              <c16:uniqueId val="{00000009-3BE1-457E-8909-8892DFB6429D}"/>
            </c:ext>
          </c:extLst>
        </c:ser>
        <c:ser>
          <c:idx val="10"/>
          <c:order val="10"/>
          <c:tx>
            <c:v>milli</c:v>
          </c:tx>
          <c:spPr>
            <a:ln w="19050" cap="rnd">
              <a:solidFill>
                <a:schemeClr val="accent3">
                  <a:lumMod val="80000"/>
                </a:schemeClr>
              </a:solidFill>
              <a:round/>
            </a:ln>
            <a:effectLst/>
          </c:spPr>
          <c:marker>
            <c:symbol val="none"/>
          </c:marker>
          <c:xVal>
            <c:numRef>
              <c:f>'6'!$W$1:$W$2</c:f>
              <c:numCache>
                <c:formatCode>0.00E+00</c:formatCode>
                <c:ptCount val="2"/>
                <c:pt idx="0">
                  <c:v>1</c:v>
                </c:pt>
                <c:pt idx="1">
                  <c:v>1E-3</c:v>
                </c:pt>
              </c:numCache>
            </c:numRef>
          </c:xVal>
          <c:yVal>
            <c:numRef>
              <c:f>'6'!$X$1:$X$2</c:f>
              <c:numCache>
                <c:formatCode>General</c:formatCode>
                <c:ptCount val="2"/>
                <c:pt idx="0">
                  <c:v>1</c:v>
                </c:pt>
                <c:pt idx="1">
                  <c:v>1</c:v>
                </c:pt>
              </c:numCache>
            </c:numRef>
          </c:yVal>
          <c:smooth val="1"/>
          <c:extLst>
            <c:ext xmlns:c16="http://schemas.microsoft.com/office/drawing/2014/chart" uri="{C3380CC4-5D6E-409C-BE32-E72D297353CC}">
              <c16:uniqueId val="{0000000A-3BE1-457E-8909-8892DFB6429D}"/>
            </c:ext>
          </c:extLst>
        </c:ser>
        <c:dLbls>
          <c:showLegendKey val="0"/>
          <c:showVal val="0"/>
          <c:showCatName val="0"/>
          <c:showSerName val="0"/>
          <c:showPercent val="0"/>
          <c:showBubbleSize val="0"/>
        </c:dLbls>
        <c:axId val="1994744303"/>
        <c:axId val="1988261007"/>
      </c:scatterChart>
      <c:valAx>
        <c:axId val="1994744303"/>
        <c:scaling>
          <c:logBase val="10"/>
          <c:orientation val="minMax"/>
          <c:max val="1"/>
          <c:min val="1.000000000000001E-18"/>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b="1"/>
                  <a:t>Body weight in gC (on log10 axis)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88261007"/>
        <c:crosses val="autoZero"/>
        <c:crossBetween val="midCat"/>
        <c:majorUnit val="10"/>
      </c:valAx>
      <c:valAx>
        <c:axId val="1988261007"/>
        <c:scaling>
          <c:orientation val="minMax"/>
        </c:scaling>
        <c:delete val="1"/>
        <c:axPos val="l"/>
        <c:numFmt formatCode="General" sourceLinked="1"/>
        <c:majorTickMark val="none"/>
        <c:minorTickMark val="none"/>
        <c:tickLblPos val="nextTo"/>
        <c:crossAx val="19947443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none"/>
          </c:marker>
          <c:xVal>
            <c:numRef>
              <c:f>'6'!$L$2:$L$3</c:f>
              <c:numCache>
                <c:formatCode>0.00E+00</c:formatCode>
                <c:ptCount val="2"/>
                <c:pt idx="0">
                  <c:v>1.6000000000000001E-8</c:v>
                </c:pt>
                <c:pt idx="1">
                  <c:v>3.9999999999999998E-7</c:v>
                </c:pt>
              </c:numCache>
            </c:numRef>
          </c:xVal>
          <c:yVal>
            <c:numRef>
              <c:f>'6'!$M$2:$M$3</c:f>
              <c:numCache>
                <c:formatCode>General</c:formatCode>
                <c:ptCount val="2"/>
                <c:pt idx="0">
                  <c:v>7</c:v>
                </c:pt>
                <c:pt idx="1">
                  <c:v>7</c:v>
                </c:pt>
              </c:numCache>
            </c:numRef>
          </c:yVal>
          <c:smooth val="1"/>
          <c:extLst>
            <c:ext xmlns:c16="http://schemas.microsoft.com/office/drawing/2014/chart" uri="{C3380CC4-5D6E-409C-BE32-E72D297353CC}">
              <c16:uniqueId val="{00000000-E680-4E03-A22C-58C9ACA97186}"/>
            </c:ext>
          </c:extLst>
        </c:ser>
        <c:ser>
          <c:idx val="1"/>
          <c:order val="1"/>
          <c:spPr>
            <a:ln w="19050" cap="rnd">
              <a:solidFill>
                <a:schemeClr val="accent3"/>
              </a:solidFill>
              <a:round/>
            </a:ln>
            <a:effectLst/>
          </c:spPr>
          <c:marker>
            <c:symbol val="none"/>
          </c:marker>
          <c:xVal>
            <c:numRef>
              <c:f>'6'!$L$4:$L$5</c:f>
              <c:numCache>
                <c:formatCode>0.00E+00</c:formatCode>
                <c:ptCount val="2"/>
                <c:pt idx="0">
                  <c:v>1.2000000000000002E-7</c:v>
                </c:pt>
                <c:pt idx="1">
                  <c:v>9.4999999999999992E-5</c:v>
                </c:pt>
              </c:numCache>
            </c:numRef>
          </c:xVal>
          <c:yVal>
            <c:numRef>
              <c:f>'6'!$M$4:$M$5</c:f>
              <c:numCache>
                <c:formatCode>General</c:formatCode>
                <c:ptCount val="2"/>
                <c:pt idx="0">
                  <c:v>6</c:v>
                </c:pt>
                <c:pt idx="1">
                  <c:v>6</c:v>
                </c:pt>
              </c:numCache>
            </c:numRef>
          </c:yVal>
          <c:smooth val="1"/>
          <c:extLst>
            <c:ext xmlns:c16="http://schemas.microsoft.com/office/drawing/2014/chart" uri="{C3380CC4-5D6E-409C-BE32-E72D297353CC}">
              <c16:uniqueId val="{00000001-E680-4E03-A22C-58C9ACA97186}"/>
            </c:ext>
          </c:extLst>
        </c:ser>
        <c:ser>
          <c:idx val="2"/>
          <c:order val="2"/>
          <c:spPr>
            <a:ln w="19050" cap="rnd">
              <a:solidFill>
                <a:schemeClr val="accent5"/>
              </a:solidFill>
              <a:round/>
            </a:ln>
            <a:effectLst/>
          </c:spPr>
          <c:marker>
            <c:symbol val="none"/>
          </c:marker>
          <c:xVal>
            <c:numRef>
              <c:f>'6'!$L$10:$L$11</c:f>
              <c:numCache>
                <c:formatCode>0.00E+00</c:formatCode>
                <c:ptCount val="2"/>
                <c:pt idx="0">
                  <c:v>5.0000000000000001E-4</c:v>
                </c:pt>
                <c:pt idx="1">
                  <c:v>0.2</c:v>
                </c:pt>
              </c:numCache>
            </c:numRef>
          </c:xVal>
          <c:yVal>
            <c:numRef>
              <c:f>'6'!$M$10:$M$11</c:f>
              <c:numCache>
                <c:formatCode>General</c:formatCode>
                <c:ptCount val="2"/>
                <c:pt idx="0">
                  <c:v>6</c:v>
                </c:pt>
                <c:pt idx="1">
                  <c:v>6</c:v>
                </c:pt>
              </c:numCache>
            </c:numRef>
          </c:yVal>
          <c:smooth val="1"/>
          <c:extLst>
            <c:ext xmlns:c16="http://schemas.microsoft.com/office/drawing/2014/chart" uri="{C3380CC4-5D6E-409C-BE32-E72D297353CC}">
              <c16:uniqueId val="{00000002-E680-4E03-A22C-58C9ACA97186}"/>
            </c:ext>
          </c:extLst>
        </c:ser>
        <c:ser>
          <c:idx val="3"/>
          <c:order val="3"/>
          <c:spPr>
            <a:ln w="19050" cap="rnd">
              <a:solidFill>
                <a:schemeClr val="accent1">
                  <a:lumMod val="60000"/>
                </a:schemeClr>
              </a:solidFill>
              <a:round/>
            </a:ln>
            <a:effectLst/>
          </c:spPr>
          <c:marker>
            <c:symbol val="none"/>
          </c:marker>
          <c:xVal>
            <c:numRef>
              <c:f>'6'!$L$6:$L$7</c:f>
              <c:numCache>
                <c:formatCode>0.00E+00</c:formatCode>
                <c:ptCount val="2"/>
                <c:pt idx="0">
                  <c:v>1.06E-6</c:v>
                </c:pt>
                <c:pt idx="1">
                  <c:v>3.31E-3</c:v>
                </c:pt>
              </c:numCache>
            </c:numRef>
          </c:xVal>
          <c:yVal>
            <c:numRef>
              <c:f>'6'!$M$6:$M$7</c:f>
              <c:numCache>
                <c:formatCode>General</c:formatCode>
                <c:ptCount val="2"/>
                <c:pt idx="0">
                  <c:v>4</c:v>
                </c:pt>
                <c:pt idx="1">
                  <c:v>4</c:v>
                </c:pt>
              </c:numCache>
            </c:numRef>
          </c:yVal>
          <c:smooth val="1"/>
          <c:extLst>
            <c:ext xmlns:c16="http://schemas.microsoft.com/office/drawing/2014/chart" uri="{C3380CC4-5D6E-409C-BE32-E72D297353CC}">
              <c16:uniqueId val="{00000003-E680-4E03-A22C-58C9ACA97186}"/>
            </c:ext>
          </c:extLst>
        </c:ser>
        <c:ser>
          <c:idx val="4"/>
          <c:order val="4"/>
          <c:spPr>
            <a:ln w="19050" cap="rnd">
              <a:solidFill>
                <a:schemeClr val="accent3">
                  <a:lumMod val="60000"/>
                </a:schemeClr>
              </a:solidFill>
              <a:round/>
            </a:ln>
            <a:effectLst/>
          </c:spPr>
          <c:marker>
            <c:symbol val="none"/>
          </c:marker>
          <c:xVal>
            <c:numRef>
              <c:f>'6'!$L$8:$L$9</c:f>
              <c:numCache>
                <c:formatCode>0.00E+00</c:formatCode>
                <c:ptCount val="2"/>
                <c:pt idx="0">
                  <c:v>6.4999999999999994E-5</c:v>
                </c:pt>
                <c:pt idx="1">
                  <c:v>1.6174999999999998E-2</c:v>
                </c:pt>
              </c:numCache>
            </c:numRef>
          </c:xVal>
          <c:yVal>
            <c:numRef>
              <c:f>'6'!$M$8:$M$9</c:f>
              <c:numCache>
                <c:formatCode>General</c:formatCode>
                <c:ptCount val="2"/>
                <c:pt idx="0">
                  <c:v>3</c:v>
                </c:pt>
                <c:pt idx="1">
                  <c:v>3</c:v>
                </c:pt>
              </c:numCache>
            </c:numRef>
          </c:yVal>
          <c:smooth val="1"/>
          <c:extLst>
            <c:ext xmlns:c16="http://schemas.microsoft.com/office/drawing/2014/chart" uri="{C3380CC4-5D6E-409C-BE32-E72D297353CC}">
              <c16:uniqueId val="{00000004-E680-4E03-A22C-58C9ACA97186}"/>
            </c:ext>
          </c:extLst>
        </c:ser>
        <c:ser>
          <c:idx val="5"/>
          <c:order val="5"/>
          <c:tx>
            <c:v>nano</c:v>
          </c:tx>
          <c:spPr>
            <a:ln w="19050" cap="rnd">
              <a:solidFill>
                <a:schemeClr val="accent5">
                  <a:lumMod val="60000"/>
                </a:schemeClr>
              </a:solidFill>
              <a:round/>
            </a:ln>
            <a:effectLst/>
          </c:spPr>
          <c:marker>
            <c:symbol val="none"/>
          </c:marker>
          <c:xVal>
            <c:numRef>
              <c:f>'6'!$Y$19:$Y$20</c:f>
              <c:numCache>
                <c:formatCode>0.00E+00</c:formatCode>
                <c:ptCount val="2"/>
                <c:pt idx="0">
                  <c:v>9.9999999999999995E-7</c:v>
                </c:pt>
                <c:pt idx="1">
                  <c:v>1.0000000000000001E-9</c:v>
                </c:pt>
              </c:numCache>
            </c:numRef>
          </c:xVal>
          <c:yVal>
            <c:numRef>
              <c:f>'6'!$Z$19:$Z$20</c:f>
              <c:numCache>
                <c:formatCode>General</c:formatCode>
                <c:ptCount val="2"/>
                <c:pt idx="0">
                  <c:v>1</c:v>
                </c:pt>
                <c:pt idx="1">
                  <c:v>1</c:v>
                </c:pt>
              </c:numCache>
            </c:numRef>
          </c:yVal>
          <c:smooth val="1"/>
          <c:extLst>
            <c:ext xmlns:c16="http://schemas.microsoft.com/office/drawing/2014/chart" uri="{C3380CC4-5D6E-409C-BE32-E72D297353CC}">
              <c16:uniqueId val="{00000005-E680-4E03-A22C-58C9ACA97186}"/>
            </c:ext>
          </c:extLst>
        </c:ser>
        <c:ser>
          <c:idx val="6"/>
          <c:order val="6"/>
          <c:tx>
            <c:v>micro+'9 fig. 1'!$F$33:$F$34</c:v>
          </c:tx>
          <c:spPr>
            <a:ln w="19050" cap="rnd">
              <a:solidFill>
                <a:schemeClr val="accent1">
                  <a:lumMod val="80000"/>
                  <a:lumOff val="20000"/>
                </a:schemeClr>
              </a:solidFill>
              <a:round/>
            </a:ln>
            <a:effectLst/>
          </c:spPr>
          <c:marker>
            <c:symbol val="none"/>
          </c:marker>
          <c:xVal>
            <c:numRef>
              <c:f>'6'!$Y$17:$Y$18</c:f>
              <c:numCache>
                <c:formatCode>0.00E+00</c:formatCode>
                <c:ptCount val="2"/>
                <c:pt idx="0">
                  <c:v>1E-3</c:v>
                </c:pt>
                <c:pt idx="1">
                  <c:v>9.9999999999999995E-7</c:v>
                </c:pt>
              </c:numCache>
            </c:numRef>
          </c:xVal>
          <c:yVal>
            <c:numRef>
              <c:f>'6'!$Z$17:$Z$18</c:f>
              <c:numCache>
                <c:formatCode>General</c:formatCode>
                <c:ptCount val="2"/>
                <c:pt idx="0">
                  <c:v>1</c:v>
                </c:pt>
                <c:pt idx="1">
                  <c:v>1</c:v>
                </c:pt>
              </c:numCache>
            </c:numRef>
          </c:yVal>
          <c:smooth val="1"/>
          <c:extLst>
            <c:ext xmlns:c16="http://schemas.microsoft.com/office/drawing/2014/chart" uri="{C3380CC4-5D6E-409C-BE32-E72D297353CC}">
              <c16:uniqueId val="{00000006-E680-4E03-A22C-58C9ACA97186}"/>
            </c:ext>
          </c:extLst>
        </c:ser>
        <c:ser>
          <c:idx val="7"/>
          <c:order val="7"/>
          <c:tx>
            <c:v>milli</c:v>
          </c:tx>
          <c:spPr>
            <a:ln w="19050" cap="rnd">
              <a:solidFill>
                <a:schemeClr val="accent3">
                  <a:lumMod val="80000"/>
                  <a:lumOff val="20000"/>
                </a:schemeClr>
              </a:solidFill>
              <a:round/>
            </a:ln>
            <a:effectLst/>
          </c:spPr>
          <c:marker>
            <c:symbol val="none"/>
          </c:marker>
          <c:xVal>
            <c:numRef>
              <c:f>'6'!$Y$15:$Y$16</c:f>
              <c:numCache>
                <c:formatCode>0.00E+00</c:formatCode>
                <c:ptCount val="2"/>
                <c:pt idx="0">
                  <c:v>0.01</c:v>
                </c:pt>
                <c:pt idx="1">
                  <c:v>1E-3</c:v>
                </c:pt>
              </c:numCache>
            </c:numRef>
          </c:xVal>
          <c:yVal>
            <c:numRef>
              <c:f>'6'!$Z$15:$Z$16</c:f>
              <c:numCache>
                <c:formatCode>General</c:formatCode>
                <c:ptCount val="2"/>
                <c:pt idx="0">
                  <c:v>1</c:v>
                </c:pt>
                <c:pt idx="1">
                  <c:v>1</c:v>
                </c:pt>
              </c:numCache>
            </c:numRef>
          </c:yVal>
          <c:smooth val="1"/>
          <c:extLst>
            <c:ext xmlns:c16="http://schemas.microsoft.com/office/drawing/2014/chart" uri="{C3380CC4-5D6E-409C-BE32-E72D297353CC}">
              <c16:uniqueId val="{00000007-E680-4E03-A22C-58C9ACA97186}"/>
            </c:ext>
          </c:extLst>
        </c:ser>
        <c:ser>
          <c:idx val="8"/>
          <c:order val="8"/>
          <c:tx>
            <c:v>centi</c:v>
          </c:tx>
          <c:spPr>
            <a:ln w="19050" cap="rnd">
              <a:solidFill>
                <a:schemeClr val="accent5">
                  <a:lumMod val="80000"/>
                  <a:lumOff val="20000"/>
                </a:schemeClr>
              </a:solidFill>
              <a:round/>
            </a:ln>
            <a:effectLst/>
          </c:spPr>
          <c:marker>
            <c:symbol val="none"/>
          </c:marker>
          <c:xVal>
            <c:numRef>
              <c:f>'6'!$Y$13:$Y$14</c:f>
              <c:numCache>
                <c:formatCode>0.00E+00</c:formatCode>
                <c:ptCount val="2"/>
                <c:pt idx="0">
                  <c:v>1</c:v>
                </c:pt>
                <c:pt idx="1">
                  <c:v>0.01</c:v>
                </c:pt>
              </c:numCache>
            </c:numRef>
          </c:xVal>
          <c:yVal>
            <c:numRef>
              <c:f>'6'!$Z$13:$Z$14</c:f>
              <c:numCache>
                <c:formatCode>General</c:formatCode>
                <c:ptCount val="2"/>
                <c:pt idx="0">
                  <c:v>1</c:v>
                </c:pt>
                <c:pt idx="1">
                  <c:v>1</c:v>
                </c:pt>
              </c:numCache>
            </c:numRef>
          </c:yVal>
          <c:smooth val="1"/>
          <c:extLst>
            <c:ext xmlns:c16="http://schemas.microsoft.com/office/drawing/2014/chart" uri="{C3380CC4-5D6E-409C-BE32-E72D297353CC}">
              <c16:uniqueId val="{00000008-E680-4E03-A22C-58C9ACA97186}"/>
            </c:ext>
          </c:extLst>
        </c:ser>
        <c:dLbls>
          <c:showLegendKey val="0"/>
          <c:showVal val="0"/>
          <c:showCatName val="0"/>
          <c:showSerName val="0"/>
          <c:showPercent val="0"/>
          <c:showBubbleSize val="0"/>
        </c:dLbls>
        <c:axId val="1994744303"/>
        <c:axId val="1988261007"/>
      </c:scatterChart>
      <c:valAx>
        <c:axId val="1994744303"/>
        <c:scaling>
          <c:logBase val="10"/>
          <c:orientation val="minMax"/>
          <c:max val="1"/>
          <c:min val="1.0000000000000005E-8"/>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b="1"/>
                  <a:t>Body length in m (on log10 axis)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88261007"/>
        <c:crosses val="autoZero"/>
        <c:crossBetween val="midCat"/>
        <c:majorUnit val="10"/>
      </c:valAx>
      <c:valAx>
        <c:axId val="1988261007"/>
        <c:scaling>
          <c:orientation val="minMax"/>
        </c:scaling>
        <c:delete val="1"/>
        <c:axPos val="l"/>
        <c:numFmt formatCode="General" sourceLinked="1"/>
        <c:majorTickMark val="none"/>
        <c:minorTickMark val="none"/>
        <c:tickLblPos val="nextTo"/>
        <c:crossAx val="19947443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417534</xdr:colOff>
      <xdr:row>20</xdr:row>
      <xdr:rowOff>47972</xdr:rowOff>
    </xdr:from>
    <xdr:to>
      <xdr:col>2</xdr:col>
      <xdr:colOff>808973</xdr:colOff>
      <xdr:row>21</xdr:row>
      <xdr:rowOff>72371</xdr:rowOff>
    </xdr:to>
    <xdr:pic>
      <xdr:nvPicPr>
        <xdr:cNvPr id="4" name="Picture 3">
          <a:extLst>
            <a:ext uri="{FF2B5EF4-FFF2-40B4-BE49-F238E27FC236}">
              <a16:creationId xmlns:a16="http://schemas.microsoft.com/office/drawing/2014/main" id="{F0C04A04-F2E6-1C3A-595B-8048E16364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6575" y="5745575"/>
          <a:ext cx="391439" cy="372344"/>
        </a:xfrm>
        <a:prstGeom prst="rect">
          <a:avLst/>
        </a:prstGeom>
      </xdr:spPr>
    </xdr:pic>
    <xdr:clientData/>
  </xdr:twoCellAnchor>
  <xdr:twoCellAnchor editAs="oneCell">
    <xdr:from>
      <xdr:col>2</xdr:col>
      <xdr:colOff>487124</xdr:colOff>
      <xdr:row>23</xdr:row>
      <xdr:rowOff>452329</xdr:rowOff>
    </xdr:from>
    <xdr:to>
      <xdr:col>2</xdr:col>
      <xdr:colOff>1074407</xdr:colOff>
      <xdr:row>25</xdr:row>
      <xdr:rowOff>54803</xdr:rowOff>
    </xdr:to>
    <xdr:pic>
      <xdr:nvPicPr>
        <xdr:cNvPr id="10" name="Picture 9">
          <a:extLst>
            <a:ext uri="{FF2B5EF4-FFF2-40B4-BE49-F238E27FC236}">
              <a16:creationId xmlns:a16="http://schemas.microsoft.com/office/drawing/2014/main" id="{5D606C2A-C5DB-410F-0D99-393B7D18405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96165" y="5454041"/>
          <a:ext cx="587283" cy="576721"/>
        </a:xfrm>
        <a:prstGeom prst="rect">
          <a:avLst/>
        </a:prstGeom>
      </xdr:spPr>
    </xdr:pic>
    <xdr:clientData/>
  </xdr:twoCellAnchor>
  <xdr:twoCellAnchor editAs="oneCell">
    <xdr:from>
      <xdr:col>2</xdr:col>
      <xdr:colOff>341502</xdr:colOff>
      <xdr:row>23</xdr:row>
      <xdr:rowOff>70235</xdr:rowOff>
    </xdr:from>
    <xdr:to>
      <xdr:col>2</xdr:col>
      <xdr:colOff>782754</xdr:colOff>
      <xdr:row>24</xdr:row>
      <xdr:rowOff>7212</xdr:rowOff>
    </xdr:to>
    <xdr:pic>
      <xdr:nvPicPr>
        <xdr:cNvPr id="12" name="Picture 11">
          <a:extLst>
            <a:ext uri="{FF2B5EF4-FFF2-40B4-BE49-F238E27FC236}">
              <a16:creationId xmlns:a16="http://schemas.microsoft.com/office/drawing/2014/main" id="{1756765D-6477-D434-E703-F6A7BDCE763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50543" y="5071947"/>
          <a:ext cx="441252" cy="424100"/>
        </a:xfrm>
        <a:prstGeom prst="rect">
          <a:avLst/>
        </a:prstGeom>
      </xdr:spPr>
    </xdr:pic>
    <xdr:clientData/>
  </xdr:twoCellAnchor>
  <xdr:twoCellAnchor editAs="oneCell">
    <xdr:from>
      <xdr:col>2</xdr:col>
      <xdr:colOff>391441</xdr:colOff>
      <xdr:row>22</xdr:row>
      <xdr:rowOff>45529</xdr:rowOff>
    </xdr:from>
    <xdr:to>
      <xdr:col>2</xdr:col>
      <xdr:colOff>739385</xdr:colOff>
      <xdr:row>22</xdr:row>
      <xdr:rowOff>295753</xdr:rowOff>
    </xdr:to>
    <xdr:pic>
      <xdr:nvPicPr>
        <xdr:cNvPr id="3" name="Picture 2">
          <a:extLst>
            <a:ext uri="{FF2B5EF4-FFF2-40B4-BE49-F238E27FC236}">
              <a16:creationId xmlns:a16="http://schemas.microsoft.com/office/drawing/2014/main" id="{F5CB6082-5A67-1086-35C4-23EC8A7F8B2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00482" y="4725392"/>
          <a:ext cx="347944" cy="250224"/>
        </a:xfrm>
        <a:prstGeom prst="rect">
          <a:avLst/>
        </a:prstGeom>
      </xdr:spPr>
    </xdr:pic>
    <xdr:clientData/>
  </xdr:twoCellAnchor>
  <xdr:twoCellAnchor editAs="oneCell">
    <xdr:from>
      <xdr:col>2</xdr:col>
      <xdr:colOff>13724</xdr:colOff>
      <xdr:row>25</xdr:row>
      <xdr:rowOff>68985</xdr:rowOff>
    </xdr:from>
    <xdr:to>
      <xdr:col>2</xdr:col>
      <xdr:colOff>577789</xdr:colOff>
      <xdr:row>25</xdr:row>
      <xdr:rowOff>486519</xdr:rowOff>
    </xdr:to>
    <xdr:pic>
      <xdr:nvPicPr>
        <xdr:cNvPr id="7" name="Picture 6">
          <a:extLst>
            <a:ext uri="{FF2B5EF4-FFF2-40B4-BE49-F238E27FC236}">
              <a16:creationId xmlns:a16="http://schemas.microsoft.com/office/drawing/2014/main" id="{09ABDFF5-034B-7E74-2E2E-A6554EB3EDF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6200000">
          <a:off x="1096031" y="7659212"/>
          <a:ext cx="417534" cy="564065"/>
        </a:xfrm>
        <a:prstGeom prst="rect">
          <a:avLst/>
        </a:prstGeom>
      </xdr:spPr>
    </xdr:pic>
    <xdr:clientData/>
  </xdr:twoCellAnchor>
  <xdr:twoCellAnchor editAs="oneCell">
    <xdr:from>
      <xdr:col>0</xdr:col>
      <xdr:colOff>443630</xdr:colOff>
      <xdr:row>20</xdr:row>
      <xdr:rowOff>165561</xdr:rowOff>
    </xdr:from>
    <xdr:to>
      <xdr:col>2</xdr:col>
      <xdr:colOff>304452</xdr:colOff>
      <xdr:row>22</xdr:row>
      <xdr:rowOff>175789</xdr:rowOff>
    </xdr:to>
    <xdr:pic>
      <xdr:nvPicPr>
        <xdr:cNvPr id="5" name="Picture 4">
          <a:extLst>
            <a:ext uri="{FF2B5EF4-FFF2-40B4-BE49-F238E27FC236}">
              <a16:creationId xmlns:a16="http://schemas.microsoft.com/office/drawing/2014/main" id="{CC423838-2A50-3EEA-8958-FC82B9E8C68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3630" y="4175629"/>
          <a:ext cx="869863" cy="6800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82550</xdr:colOff>
      <xdr:row>21</xdr:row>
      <xdr:rowOff>171450</xdr:rowOff>
    </xdr:from>
    <xdr:to>
      <xdr:col>5</xdr:col>
      <xdr:colOff>209550</xdr:colOff>
      <xdr:row>33</xdr:row>
      <xdr:rowOff>44450</xdr:rowOff>
    </xdr:to>
    <xdr:graphicFrame macro="">
      <xdr:nvGraphicFramePr>
        <xdr:cNvPr id="2" name="Chart 1">
          <a:extLst>
            <a:ext uri="{FF2B5EF4-FFF2-40B4-BE49-F238E27FC236}">
              <a16:creationId xmlns:a16="http://schemas.microsoft.com/office/drawing/2014/main" id="{8C69B6F2-423F-4658-A6F1-01FB4F8A0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44450</xdr:colOff>
      <xdr:row>11</xdr:row>
      <xdr:rowOff>177800</xdr:rowOff>
    </xdr:from>
    <xdr:to>
      <xdr:col>5</xdr:col>
      <xdr:colOff>238124</xdr:colOff>
      <xdr:row>20</xdr:row>
      <xdr:rowOff>159690</xdr:rowOff>
    </xdr:to>
    <xdr:graphicFrame macro="">
      <xdr:nvGraphicFramePr>
        <xdr:cNvPr id="3" name="Chart 2">
          <a:extLst>
            <a:ext uri="{FF2B5EF4-FFF2-40B4-BE49-F238E27FC236}">
              <a16:creationId xmlns:a16="http://schemas.microsoft.com/office/drawing/2014/main" id="{ACF8BE55-0DCD-4CDD-A9FB-BAF98F26D701}"/>
            </a:ext>
            <a:ext uri="{147F2762-F138-4A5C-976F-8EAC2B608ADB}">
              <a16:predDERef xmlns:a16="http://schemas.microsoft.com/office/drawing/2014/main" pred="{8C69B6F2-423F-4658-A6F1-01FB4F8A0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 Perkins (Staff)" refreshedDate="46184.644696412041" createdVersion="8" refreshedVersion="8" minRefreshableVersion="3" recordCount="289" xr:uid="{4627E51E-129F-4677-8CEF-E7C296A3DE6A}">
  <cacheSource type="worksheet">
    <worksheetSource ref="A1:W1048576" sheet="1"/>
  </cacheSource>
  <cacheFields count="23">
    <cacheField name="Field1" caption="Field1" numFmtId="0">
      <sharedItems containsNonDate="0" containsString="0" containsBlank="1"/>
    </cacheField>
    <cacheField name="Size group" numFmtId="0">
      <sharedItems containsBlank="1" containsMixedTypes="1" containsNumber="1" containsInteger="1" minValue="1" maxValue="5" count="7">
        <n v="1"/>
        <n v="2"/>
        <n v="3"/>
        <n v="4"/>
        <n v="5"/>
        <s v="na"/>
        <m/>
      </sharedItems>
    </cacheField>
    <cacheField name="Size group name" numFmtId="0">
      <sharedItems containsBlank="1"/>
    </cacheField>
    <cacheField name="Group" numFmtId="0">
      <sharedItems containsBlank="1"/>
    </cacheField>
    <cacheField name="Example" numFmtId="0">
      <sharedItems containsBlank="1"/>
    </cacheField>
    <cacheField name="L (µm)" numFmtId="0">
      <sharedItems containsBlank="1" containsMixedTypes="1" containsNumber="1" minValue="1.6E-2" maxValue="19000"/>
    </cacheField>
    <cacheField name="L (mm)" numFmtId="173">
      <sharedItems containsString="0" containsBlank="1" containsNumber="1" minValue="5.0000000000000002E-5" maxValue="1.0088110000000001"/>
    </cacheField>
    <cacheField name="µgC/ind." numFmtId="0">
      <sharedItems containsString="0" containsBlank="1" containsNumber="1" minValue="2.0000000000000002E-11" maxValue="100"/>
    </cacheField>
    <cacheField name="V (µm3), i.e. V (fL)" numFmtId="0">
      <sharedItems containsBlank="1" containsMixedTypes="1" containsNumber="1" minValue="8.1999999999999994E-6" maxValue="220000000.00000003"/>
    </cacheField>
    <cacheField name="V (nl)" numFmtId="173">
      <sharedItems containsString="0" containsBlank="1" containsNumber="1" minValue="8.1999999999999998E-12" maxValue="220.00000000000003"/>
    </cacheField>
    <cacheField name="V (ml)" numFmtId="173">
      <sharedItems containsString="0" containsBlank="1" containsNumber="1" minValue="8.1999999999999991E-15" maxValue="0.22000000000000003"/>
    </cacheField>
    <cacheField name="FW (µg)" numFmtId="0">
      <sharedItems containsString="0" containsBlank="1" containsNumber="1" minValue="9.9999999999999994E-12" maxValue="1000000000"/>
    </cacheField>
    <cacheField name="FW (mg) " numFmtId="173">
      <sharedItems containsString="0" containsBlank="1" containsNumber="1" minValue="1E-14" maxValue="1000000"/>
    </cacheField>
    <cacheField name="FW(g)" numFmtId="0">
      <sharedItems containsString="0" containsBlank="1" containsNumber="1" minValue="1.0000000000000001E-17" maxValue="1000"/>
    </cacheField>
    <cacheField name="DW (µg)" numFmtId="173">
      <sharedItems containsString="0" containsBlank="1" containsNumber="1" minValue="3E-9" maxValue="1.5400000000000001E-3"/>
    </cacheField>
    <cacheField name="DW (mg) min" numFmtId="173">
      <sharedItems containsString="0" containsBlank="1" containsNumber="1" minValue="4.0000000000000003E-15" maxValue="1.5400000000000001E-9"/>
    </cacheField>
    <cacheField name="DW (g)" numFmtId="173">
      <sharedItems containsString="0" containsBlank="1" containsNumber="1" minValue="5.9620596205962061E-17" maxValue="6.5799999999999997E-2"/>
    </cacheField>
    <cacheField name="L (m)" numFmtId="0">
      <sharedItems containsString="0" containsBlank="1" containsNumber="1" minValue="1.6000000000000001E-8" maxValue="0.2"/>
    </cacheField>
    <cacheField name="gC/ind." numFmtId="0">
      <sharedItems containsString="0" containsBlank="1" containsNumber="1" minValue="2.0000000000000001E-17" maxValue="2"/>
    </cacheField>
    <cacheField name="Reference" numFmtId="0">
      <sharedItems containsBlank="1"/>
    </cacheField>
    <cacheField name="raw data as given by authors" numFmtId="0">
      <sharedItems containsBlank="1" containsMixedTypes="1" containsNumber="1" minValue="10.44" maxValue="63.53"/>
    </cacheField>
    <cacheField name="Value to use for list" numFmtId="0">
      <sharedItems containsBlank="1" containsMixedTypes="1" containsNumber="1" minValue="1.0689800000000001E-4" maxValue="30000"/>
    </cacheField>
    <cacheField name="commen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
  <r>
    <m/>
    <x v="0"/>
    <s v="Viruses"/>
    <s v="Viruses"/>
    <s v="Bacteriophage typical"/>
    <n v="0.05"/>
    <n v="5.0000000000000002E-5"/>
    <n v="2.0000000000000002E-11"/>
    <m/>
    <m/>
    <m/>
    <m/>
    <m/>
    <m/>
    <m/>
    <m/>
    <m/>
    <n v="4.9999999999999998E-8"/>
    <n v="2.0000000000000001E-17"/>
    <s v="Bar-On et al. 2018 "/>
    <s v="≈0.02 fg C, 50nm length"/>
    <s v="na"/>
    <s v="na"/>
  </r>
  <r>
    <m/>
    <x v="0"/>
    <s v="Viruses"/>
    <s v="Viruses"/>
    <s v="marine virus"/>
    <m/>
    <m/>
    <m/>
    <m/>
    <m/>
    <m/>
    <m/>
    <m/>
    <m/>
    <m/>
    <m/>
    <m/>
    <m/>
    <n v="5.5000000000000006E-17"/>
    <s v="Steward et al. 2007"/>
    <s v="0.055fgC"/>
    <s v="na"/>
    <s v="na"/>
  </r>
  <r>
    <m/>
    <x v="0"/>
    <s v="Viruses"/>
    <s v="Viruses"/>
    <s v="Bacteriophage Lambda"/>
    <n v="0.18"/>
    <m/>
    <m/>
    <m/>
    <m/>
    <m/>
    <m/>
    <m/>
    <m/>
    <m/>
    <m/>
    <m/>
    <n v="1.8E-7"/>
    <n v="9.6311320000000015E-17"/>
    <s v="Hohn &amp; Katsura 1977"/>
    <s v="58 x 10power6 daltons; head with a radius of 30 nm and a flexible tail 150 nm long"/>
    <s v="na"/>
    <s v="na"/>
  </r>
  <r>
    <m/>
    <x v="0"/>
    <s v="Viruses"/>
    <s v="Viruses"/>
    <s v="na"/>
    <m/>
    <m/>
    <m/>
    <m/>
    <m/>
    <m/>
    <m/>
    <m/>
    <m/>
    <m/>
    <m/>
    <m/>
    <m/>
    <n v="2.0000000000000002E-16"/>
    <s v="Wilhelm and Suttle 1999"/>
    <s v="0.2 fgC"/>
    <s v="na"/>
    <s v="na"/>
  </r>
  <r>
    <m/>
    <x v="0"/>
    <s v="Viruses"/>
    <s v="Viruses"/>
    <s v="Bacteriophage T2"/>
    <n v="0.19500000000000001"/>
    <m/>
    <m/>
    <m/>
    <m/>
    <m/>
    <m/>
    <m/>
    <m/>
    <m/>
    <m/>
    <m/>
    <n v="1.9499999999999999E-7"/>
    <n v="5.3967550000000005E-16"/>
    <s v="Matthews 1975"/>
    <s v="325 x 106 dalton; 34.6 × 104nm3"/>
    <s v="na"/>
    <s v="na"/>
  </r>
  <r>
    <m/>
    <x v="0"/>
    <s v="Viruses"/>
    <s v="Viruses"/>
    <s v="SARS-CoV-2 virus"/>
    <n v="0.1"/>
    <n v="1E-4"/>
    <n v="1.0000000000000001E-9"/>
    <m/>
    <m/>
    <m/>
    <m/>
    <m/>
    <m/>
    <m/>
    <m/>
    <m/>
    <n v="9.9999999999999995E-8"/>
    <n v="1.0000000000000001E-15"/>
    <s v="Bar-On et al. 2020"/>
    <s v="1fg, 100nm in diamtre"/>
    <s v="na"/>
    <s v="na"/>
  </r>
  <r>
    <m/>
    <x v="0"/>
    <s v="Viruses"/>
    <s v="Viruses"/>
    <s v="virus small"/>
    <n v="1.6E-2"/>
    <m/>
    <m/>
    <m/>
    <m/>
    <m/>
    <m/>
    <m/>
    <m/>
    <m/>
    <m/>
    <m/>
    <n v="1.6000000000000001E-8"/>
    <m/>
    <s v="Modrow et al. 2013"/>
    <s v="16 nm"/>
    <s v="na"/>
    <s v="na"/>
  </r>
  <r>
    <m/>
    <x v="0"/>
    <s v="Viruses"/>
    <s v="Viruses"/>
    <s v="virus small"/>
    <n v="1.7000000000000001E-2"/>
    <m/>
    <m/>
    <m/>
    <m/>
    <m/>
    <m/>
    <m/>
    <m/>
    <m/>
    <m/>
    <m/>
    <n v="1.7E-8"/>
    <m/>
    <s v="Sevvana et al. 2021"/>
    <s v="Angstrom"/>
    <s v="na"/>
    <s v="na"/>
  </r>
  <r>
    <m/>
    <x v="0"/>
    <s v="Viruses"/>
    <s v="Viruses"/>
    <s v="Bacteriophage"/>
    <n v="8.2000000000000003E-2"/>
    <m/>
    <m/>
    <m/>
    <m/>
    <m/>
    <m/>
    <m/>
    <m/>
    <m/>
    <m/>
    <n v="5.9620596205962061E-17"/>
    <n v="8.1999999999999993E-8"/>
    <m/>
    <s v="Day and Mindich 1980"/>
    <s v="82 nm; molecular weight of 99 × 10power6"/>
    <s v="na"/>
    <s v="na"/>
  </r>
  <r>
    <m/>
    <x v="0"/>
    <s v="Viruses"/>
    <s v="Viruses"/>
    <s v="virus large"/>
    <n v="0.3"/>
    <m/>
    <m/>
    <m/>
    <m/>
    <m/>
    <m/>
    <m/>
    <m/>
    <m/>
    <m/>
    <m/>
    <n v="2.9999999999999999E-7"/>
    <m/>
    <s v="Modrow et al. 2013"/>
    <s v="300 nm"/>
    <s v="na"/>
    <s v="na"/>
  </r>
  <r>
    <m/>
    <x v="0"/>
    <s v="Viruses"/>
    <s v="Viruses"/>
    <s v="Mimivirus that infects protozoa"/>
    <n v="0.4"/>
    <m/>
    <m/>
    <m/>
    <m/>
    <m/>
    <m/>
    <m/>
    <m/>
    <m/>
    <m/>
    <m/>
    <n v="3.9999999999999998E-7"/>
    <m/>
    <s v="Dimmock et al. 2015"/>
    <m/>
    <s v="na"/>
    <s v="na"/>
  </r>
  <r>
    <m/>
    <x v="0"/>
    <s v="Viruses"/>
    <s v="Viruses"/>
    <s v="phage of Autographa californica "/>
    <m/>
    <m/>
    <m/>
    <m/>
    <m/>
    <m/>
    <n v="1.0000000000000001E-9"/>
    <n v="9.9999999999999998E-13"/>
    <n v="1.0000000000000001E-15"/>
    <m/>
    <m/>
    <m/>
    <m/>
    <m/>
    <s v="Ilic et al. 2004"/>
    <s v="1 fg"/>
    <s v="na"/>
    <s v="na"/>
  </r>
  <r>
    <m/>
    <x v="0"/>
    <s v="Viruses"/>
    <s v="Viruses, aquatic"/>
    <s v="Marnaviridae"/>
    <m/>
    <m/>
    <m/>
    <n v="8.1999999999999994E-6"/>
    <n v="8.1999999999999998E-12"/>
    <n v="8.1999999999999991E-15"/>
    <m/>
    <m/>
    <m/>
    <m/>
    <m/>
    <m/>
    <m/>
    <m/>
    <s v="Cui et al. 2014"/>
    <s v="8.2 × 103 Virion vol (nm3)"/>
    <s v="na"/>
    <s v="na"/>
  </r>
  <r>
    <m/>
    <x v="0"/>
    <s v="Viruses"/>
    <s v="Viruses, aquatic"/>
    <s v="Pandoravirusa"/>
    <m/>
    <m/>
    <m/>
    <n v="7.4999999999999997E-2"/>
    <n v="7.4999999999999997E-8"/>
    <n v="7.5E-11"/>
    <m/>
    <m/>
    <m/>
    <m/>
    <m/>
    <m/>
    <m/>
    <m/>
    <s v="Cui et al. 2014"/>
    <s v="7.5 × 107 Virion vol (nm3)"/>
    <s v="na"/>
    <s v="na"/>
  </r>
  <r>
    <m/>
    <x v="1"/>
    <s v="Bacteria"/>
    <s v="Bacteria - heterotroph"/>
    <s v="E.coli from 2 lakes - small"/>
    <m/>
    <m/>
    <n v="1.5E-9"/>
    <m/>
    <m/>
    <m/>
    <m/>
    <m/>
    <m/>
    <n v="3E-9"/>
    <m/>
    <n v="2.9999999999999998E-15"/>
    <m/>
    <n v="1.4999999999999999E-15"/>
    <s v="Loferer-Krossbacher et al. 1998"/>
    <s v="DW of E. coli cells ranged from 3 to 1,172 fg; carbon is 50% of DW"/>
    <n v="3"/>
    <s v="na"/>
  </r>
  <r>
    <m/>
    <x v="1"/>
    <s v="Bacteria"/>
    <s v="Bacteria - general"/>
    <s v="Aquatic prokaryote small"/>
    <m/>
    <m/>
    <n v="5.0000000000000009E-9"/>
    <m/>
    <m/>
    <m/>
    <m/>
    <m/>
    <m/>
    <m/>
    <m/>
    <m/>
    <m/>
    <n v="5.0000000000000008E-15"/>
    <s v="Whitman et al. 1998"/>
    <m/>
    <s v="na"/>
    <s v="na"/>
  </r>
  <r>
    <m/>
    <x v="1"/>
    <s v="Bacteria"/>
    <s v="Bacteria - heterotroph"/>
    <s v="marine, brakish and freshwater bacteria"/>
    <m/>
    <m/>
    <m/>
    <n v="6"/>
    <n v="6.0000000000000002E-6"/>
    <n v="6E-9"/>
    <m/>
    <m/>
    <m/>
    <m/>
    <n v="4.0000000000000003E-15"/>
    <m/>
    <m/>
    <n v="7.0000000000000001E-15"/>
    <s v="Fagerbakke, Heldal and Norland 1996 "/>
    <s v="0026 to 15.8 microm3, 4 fg to 1.9 pg. "/>
    <s v="na"/>
    <s v="na"/>
  </r>
  <r>
    <m/>
    <x v="1"/>
    <s v="Bacteria"/>
    <s v="Bacteria - general"/>
    <s v="Average benthic prokaryotes"/>
    <m/>
    <m/>
    <n v="1.0000000000000002E-8"/>
    <m/>
    <m/>
    <m/>
    <m/>
    <m/>
    <m/>
    <m/>
    <m/>
    <m/>
    <m/>
    <n v="1.0000000000000002E-14"/>
    <s v="Whitman et al. 1998"/>
    <m/>
    <s v="na"/>
    <s v="na"/>
  </r>
  <r>
    <m/>
    <x v="1"/>
    <s v="Bacteria"/>
    <s v="Bacteria - general"/>
    <s v="na"/>
    <m/>
    <m/>
    <n v="1.04E-8"/>
    <n v="2.5999999999999999E-2"/>
    <n v="2.5999999999999998E-8"/>
    <m/>
    <m/>
    <m/>
    <m/>
    <n v="1.9699999999999998E-8"/>
    <m/>
    <n v="1.9699999999999997E-14"/>
    <m/>
    <n v="1.04E-14"/>
    <s v="Simon and Azam 1989"/>
    <s v="fg protein"/>
    <n v="9.9"/>
    <s v="na"/>
  </r>
  <r>
    <m/>
    <x v="1"/>
    <s v="Bacteria"/>
    <s v="Bacteria - general"/>
    <s v="Average benthic, marine prokaryote"/>
    <m/>
    <m/>
    <n v="1.1000000000000001E-8"/>
    <m/>
    <m/>
    <m/>
    <m/>
    <m/>
    <m/>
    <m/>
    <m/>
    <m/>
    <m/>
    <n v="1.1E-14"/>
    <s v="Bar-On et al. 2018 "/>
    <s v="11 fgC/cell"/>
    <s v="na"/>
    <s v="na"/>
  </r>
  <r>
    <m/>
    <x v="1"/>
    <s v="Bacteria"/>
    <s v="Bacteria - general"/>
    <s v="Aquatic bacterium"/>
    <s v="~0.72"/>
    <n v="2.0000000000000001E-4"/>
    <m/>
    <n v="0.2"/>
    <n v="2.0000000000000002E-7"/>
    <m/>
    <m/>
    <m/>
    <m/>
    <m/>
    <m/>
    <m/>
    <m/>
    <n v="2.0000000000000003E-14"/>
    <s v="Findlay et al. 2002"/>
    <s v="0.2μm3"/>
    <s v="na"/>
    <s v="na"/>
  </r>
  <r>
    <m/>
    <x v="1"/>
    <s v="Bacteria"/>
    <s v="Bacteria - general"/>
    <s v="Constant biomass model for bacteria"/>
    <m/>
    <m/>
    <n v="2.0000000000000004E-8"/>
    <m/>
    <m/>
    <m/>
    <m/>
    <m/>
    <m/>
    <m/>
    <m/>
    <m/>
    <m/>
    <n v="2.0000000000000003E-14"/>
    <s v="Lee and Fuhrman 1987"/>
    <m/>
    <s v="na"/>
    <s v="na"/>
  </r>
  <r>
    <m/>
    <x v="1"/>
    <s v="Bacteria"/>
    <s v="Bacteria - general"/>
    <s v="Aquatic prokaryotes large"/>
    <m/>
    <m/>
    <n v="2.0000000000000004E-8"/>
    <m/>
    <m/>
    <m/>
    <m/>
    <m/>
    <m/>
    <m/>
    <m/>
    <m/>
    <m/>
    <n v="2.0000000000000003E-14"/>
    <s v="Whitman et al. 1998"/>
    <m/>
    <s v="na"/>
    <s v="na"/>
  </r>
  <r>
    <m/>
    <x v="1"/>
    <s v="Bacteria"/>
    <s v="Bacteria - general"/>
    <s v="Average planktonic prokayote"/>
    <m/>
    <m/>
    <n v="2.0000000000000004E-8"/>
    <m/>
    <m/>
    <m/>
    <m/>
    <m/>
    <m/>
    <m/>
    <m/>
    <m/>
    <m/>
    <n v="2.0000000000000003E-14"/>
    <s v="Whitman et al. 1998"/>
    <m/>
    <s v="na"/>
    <s v="na"/>
  </r>
  <r>
    <m/>
    <x v="1"/>
    <s v="Bacteria"/>
    <s v="Bacteria - general"/>
    <s v="na"/>
    <m/>
    <m/>
    <n v="5.3299999999999994E-8"/>
    <n v="0.4"/>
    <n v="4.0000000000000003E-7"/>
    <m/>
    <m/>
    <m/>
    <m/>
    <n v="9.5799999999999998E-8"/>
    <m/>
    <n v="9.5799999999999993E-14"/>
    <m/>
    <n v="5.3299999999999991E-14"/>
    <s v="Simon and Azam 1989"/>
    <m/>
    <s v="na"/>
    <s v="na"/>
  </r>
  <r>
    <m/>
    <x v="1"/>
    <s v="Bacteria"/>
    <s v="Bacteria - heterotroph"/>
    <s v="E. coli"/>
    <m/>
    <m/>
    <n v="1.5000000000000002E-7"/>
    <m/>
    <m/>
    <m/>
    <m/>
    <m/>
    <m/>
    <m/>
    <m/>
    <m/>
    <m/>
    <n v="1.5000000000000002E-13"/>
    <s v="Bar-On et al. 2018 "/>
    <s v="≈150 fg C"/>
    <s v="na"/>
    <s v="na"/>
  </r>
  <r>
    <m/>
    <x v="1"/>
    <s v="Bacteria"/>
    <s v="Bacteria - heterotroph"/>
    <s v="marine, brakish and freshwater bacteria"/>
    <m/>
    <m/>
    <m/>
    <n v="15.8"/>
    <n v="1.5800000000000001E-5"/>
    <n v="1.5800000000000003E-8"/>
    <m/>
    <m/>
    <m/>
    <m/>
    <n v="1.9E-12"/>
    <m/>
    <m/>
    <n v="5.3000000000000006E-13"/>
    <s v="Fagerbakke, Heldal and Norland 1996 "/>
    <s v="0026 to 15.8 microm3, 4 fg to 1.9 pg. "/>
    <s v="na"/>
    <s v="na"/>
  </r>
  <r>
    <m/>
    <x v="1"/>
    <s v="Bacteria"/>
    <s v="Bacteria - heterotroph"/>
    <s v="E.coli large"/>
    <m/>
    <m/>
    <n v="8.8850000000000005E-7"/>
    <m/>
    <m/>
    <m/>
    <m/>
    <m/>
    <m/>
    <n v="1.7770000000000001E-6"/>
    <m/>
    <n v="1.777E-12"/>
    <m/>
    <n v="8.885E-13"/>
    <s v="Loferer-Krossbacher et al. 1998"/>
    <s v="DW of E. coli cells ranged from 83 to 1,172 fg"/>
    <n v="1777"/>
    <s v="na"/>
  </r>
  <r>
    <m/>
    <x v="1"/>
    <s v="Bacteria"/>
    <s v="Bacteria - heterotroph"/>
    <s v="SAR11 marine clade"/>
    <n v="0.12000000000000001"/>
    <n v="1.2E-4"/>
    <m/>
    <m/>
    <m/>
    <m/>
    <m/>
    <m/>
    <m/>
    <m/>
    <m/>
    <m/>
    <n v="1.2000000000000002E-7"/>
    <m/>
    <s v="Andersen et al. 2016"/>
    <s v="cm"/>
    <s v="na"/>
    <s v="na"/>
  </r>
  <r>
    <m/>
    <x v="1"/>
    <s v="Bacteria"/>
    <s v="Bacteria"/>
    <s v="na"/>
    <m/>
    <m/>
    <m/>
    <m/>
    <m/>
    <m/>
    <m/>
    <m/>
    <m/>
    <m/>
    <m/>
    <m/>
    <n v="1.4999999999999999E-7"/>
    <m/>
    <s v="Hatton et al. 2021"/>
    <s v="smallest cell 0.15 μm "/>
    <s v="na"/>
    <s v="na"/>
  </r>
  <r>
    <m/>
    <x v="1"/>
    <s v="Bacteria"/>
    <s v="Bacteria"/>
    <s v="small"/>
    <m/>
    <m/>
    <m/>
    <m/>
    <m/>
    <m/>
    <m/>
    <m/>
    <m/>
    <m/>
    <m/>
    <m/>
    <n v="1.9999999999999999E-7"/>
    <m/>
    <s v="Schulz &amp; Jørgensen 2001"/>
    <s v="0.2 microm"/>
    <s v="na"/>
    <s v="na"/>
  </r>
  <r>
    <m/>
    <x v="1"/>
    <s v="Bacteria"/>
    <s v="Bacteria - autotroph"/>
    <s v="Prochlorococcus sp. "/>
    <n v="0.5"/>
    <n v="5.0000000000000001E-4"/>
    <m/>
    <m/>
    <m/>
    <m/>
    <m/>
    <m/>
    <m/>
    <m/>
    <m/>
    <m/>
    <n v="4.9999999999999998E-7"/>
    <m/>
    <s v="Bar-On et al. 2018 "/>
    <s v="cm"/>
    <s v="na"/>
    <s v="na"/>
  </r>
  <r>
    <m/>
    <x v="1"/>
    <s v="Bacteria"/>
    <s v="Bacteria - autotroph"/>
    <s v="Chroococcus sp. "/>
    <n v="25"/>
    <n v="2.5000000000000001E-2"/>
    <m/>
    <m/>
    <m/>
    <m/>
    <m/>
    <m/>
    <m/>
    <m/>
    <m/>
    <m/>
    <n v="2.4999999999999998E-5"/>
    <m/>
    <s v="Bar-On et al. 2018 "/>
    <s v="cm"/>
    <s v="na"/>
    <s v="na"/>
  </r>
  <r>
    <m/>
    <x v="1"/>
    <s v="Bacteria"/>
    <s v="Bacteria"/>
    <s v="Achromatium oxaliferum, the largest free living single-celled prokaryotes"/>
    <n v="95"/>
    <m/>
    <m/>
    <n v="80000"/>
    <n v="0.08"/>
    <n v="8.0000000000000007E-5"/>
    <m/>
    <m/>
    <m/>
    <m/>
    <m/>
    <m/>
    <n v="9.4999999999999992E-5"/>
    <m/>
    <s v="Schulz &amp; Jørgensen 2001"/>
    <s v="95 microm; biovolume in microm3"/>
    <s v="na"/>
    <s v="na"/>
  </r>
  <r>
    <m/>
    <x v="1"/>
    <s v="Bacteria"/>
    <s v="Bacteria"/>
    <s v="small"/>
    <m/>
    <m/>
    <m/>
    <m/>
    <m/>
    <m/>
    <n v="1.0000000000000001E-9"/>
    <n v="9.9999999999999998E-13"/>
    <n v="1.0000000000000001E-15"/>
    <m/>
    <m/>
    <m/>
    <m/>
    <m/>
    <s v="Andersen et al. 2016"/>
    <m/>
    <s v="na"/>
    <s v="na"/>
  </r>
  <r>
    <m/>
    <x v="1"/>
    <s v="Bacteria"/>
    <s v="Bacteria - heterotroph"/>
    <s v="E. coli"/>
    <m/>
    <m/>
    <m/>
    <m/>
    <m/>
    <m/>
    <n v="6.65E-9"/>
    <n v="6.6500000000000001E-12"/>
    <n v="6.6500000000000004E-15"/>
    <m/>
    <m/>
    <m/>
    <m/>
    <m/>
    <s v="Ilic et al. 2001"/>
    <m/>
    <s v="na"/>
    <s v="na"/>
  </r>
  <r>
    <m/>
    <x v="1"/>
    <s v="Bacteria"/>
    <s v="Bacteria - general"/>
    <s v="Pseudomonas putida"/>
    <m/>
    <m/>
    <m/>
    <m/>
    <m/>
    <m/>
    <m/>
    <m/>
    <m/>
    <m/>
    <m/>
    <n v="1.9E-12"/>
    <m/>
    <m/>
    <s v="DeLong et al. 2010"/>
    <m/>
    <s v="na"/>
    <s v="na"/>
  </r>
  <r>
    <m/>
    <x v="1"/>
    <s v="Bacteria"/>
    <s v="Bacteria - heterotroph"/>
    <s v="Groundwater bacteria large"/>
    <m/>
    <m/>
    <m/>
    <n v="0.09"/>
    <n v="8.9999999999999999E-8"/>
    <n v="8.9999999999999999E-11"/>
    <m/>
    <m/>
    <m/>
    <m/>
    <m/>
    <m/>
    <m/>
    <m/>
    <s v="Marxen 1988"/>
    <m/>
    <s v="na"/>
    <s v="na"/>
  </r>
  <r>
    <m/>
    <x v="1"/>
    <s v="Bacteria"/>
    <s v="Bacteria - general"/>
    <s v="Groundwater bacteria small"/>
    <m/>
    <m/>
    <m/>
    <n v="7.1999999999999995E-2"/>
    <n v="7.1999999999999996E-8"/>
    <n v="7.1999999999999997E-11"/>
    <m/>
    <m/>
    <m/>
    <m/>
    <m/>
    <m/>
    <m/>
    <m/>
    <s v="Marxen 1988"/>
    <s v="V in microm3"/>
    <s v="na"/>
    <s v="na"/>
  </r>
  <r>
    <m/>
    <x v="1"/>
    <s v="Bacteria"/>
    <s v="Bacteria"/>
    <s v="smallest cell possible"/>
    <m/>
    <m/>
    <m/>
    <m/>
    <m/>
    <m/>
    <n v="9.9999999999999994E-12"/>
    <n v="1E-14"/>
    <n v="1.0000000000000001E-17"/>
    <m/>
    <m/>
    <m/>
    <m/>
    <m/>
    <s v="Hatton et al. 2021"/>
    <m/>
    <s v="na"/>
    <s v="na"/>
  </r>
  <r>
    <m/>
    <x v="1"/>
    <s v="Bacteria"/>
    <s v="Bacteria"/>
    <s v="large"/>
    <m/>
    <m/>
    <m/>
    <m/>
    <m/>
    <m/>
    <n v="1E-8"/>
    <n v="9.9999999999999994E-12"/>
    <n v="1E-14"/>
    <m/>
    <m/>
    <m/>
    <m/>
    <m/>
    <s v="Hatton et al. 2021"/>
    <m/>
    <s v="na"/>
    <s v="na"/>
  </r>
  <r>
    <m/>
    <x v="1"/>
    <s v="Bacteria"/>
    <s v="Bacteria"/>
    <s v="na"/>
    <m/>
    <m/>
    <m/>
    <n v="7.1999999999999995E-2"/>
    <n v="7.1999999999999996E-8"/>
    <n v="7.1999999999999997E-11"/>
    <m/>
    <m/>
    <m/>
    <m/>
    <m/>
    <m/>
    <m/>
    <m/>
    <s v="Marxen 1988"/>
    <m/>
    <s v="na"/>
    <s v="na"/>
  </r>
  <r>
    <m/>
    <x v="1"/>
    <s v="Bacteria"/>
    <s v="Bacteria"/>
    <s v="na"/>
    <m/>
    <m/>
    <m/>
    <n v="0.09"/>
    <n v="8.9999999999999999E-8"/>
    <n v="8.9999999999999999E-11"/>
    <m/>
    <m/>
    <m/>
    <m/>
    <m/>
    <m/>
    <m/>
    <m/>
    <s v="Marxen 1988"/>
    <m/>
    <s v="na"/>
    <s v="na"/>
  </r>
  <r>
    <m/>
    <x v="1"/>
    <s v="Bacteria"/>
    <s v="marine bacteria"/>
    <s v="Candidatus Actinomarina minuta"/>
    <m/>
    <m/>
    <m/>
    <n v="1.2999999999999999E-2"/>
    <n v="1.2999999999999999E-8"/>
    <n v="1.2999999999999999E-11"/>
    <m/>
    <m/>
    <m/>
    <m/>
    <m/>
    <m/>
    <m/>
    <m/>
    <s v="Levin and Angert 2026"/>
    <m/>
    <s v="na"/>
    <s v="na"/>
  </r>
  <r>
    <m/>
    <x v="1"/>
    <s v="Bacteria"/>
    <s v="marine bacteria"/>
    <s v="Thiomargarita namibiensis"/>
    <n v="750"/>
    <m/>
    <m/>
    <n v="220000000.00000003"/>
    <n v="220.00000000000003"/>
    <n v="0.22000000000000003"/>
    <m/>
    <m/>
    <m/>
    <m/>
    <m/>
    <m/>
    <m/>
    <m/>
    <s v="Levin and Angert 2026"/>
    <s v="not used, volume given in fL but too high"/>
    <s v="na"/>
    <s v="na"/>
  </r>
  <r>
    <m/>
    <x v="1"/>
    <s v="Bacteria"/>
    <s v="Bacteria"/>
    <s v="small"/>
    <m/>
    <m/>
    <m/>
    <m/>
    <m/>
    <m/>
    <n v="1E-8"/>
    <n v="9.9999999999999994E-12"/>
    <n v="1E-14"/>
    <m/>
    <m/>
    <m/>
    <m/>
    <m/>
    <s v="Hatton et al. 2021"/>
    <s v="na"/>
    <s v="na"/>
    <s v="na"/>
  </r>
  <r>
    <m/>
    <x v="1"/>
    <s v="Bacteria"/>
    <s v="Bacteria"/>
    <s v="large"/>
    <m/>
    <m/>
    <m/>
    <m/>
    <m/>
    <m/>
    <n v="9.9999999999999991E-6"/>
    <n v="1E-8"/>
    <n v="9.9999999999999994E-12"/>
    <m/>
    <m/>
    <m/>
    <m/>
    <m/>
    <s v="Hatton et al. 2021"/>
    <s v="na"/>
    <s v="na"/>
    <s v="na"/>
  </r>
  <r>
    <m/>
    <x v="1"/>
    <s v="Bacteria"/>
    <s v="Bacteria"/>
    <s v="Wide range of species"/>
    <m/>
    <m/>
    <m/>
    <m/>
    <m/>
    <m/>
    <m/>
    <m/>
    <m/>
    <m/>
    <m/>
    <m/>
    <m/>
    <m/>
    <s v="Secaira-Morocho et al. 2024"/>
    <s v="na"/>
    <s v="na"/>
    <s v="na"/>
  </r>
  <r>
    <m/>
    <x v="1"/>
    <s v="Bacteria"/>
    <s v="Cyanobacteria"/>
    <s v="unicellular phytoplankton - wide range of species"/>
    <m/>
    <m/>
    <m/>
    <m/>
    <m/>
    <m/>
    <m/>
    <m/>
    <m/>
    <m/>
    <m/>
    <m/>
    <m/>
    <m/>
    <s v="López-Sandoval 2014"/>
    <s v="na"/>
    <s v="na"/>
    <s v="na"/>
  </r>
  <r>
    <m/>
    <x v="2"/>
    <s v="Unicellular eukaryotes"/>
    <s v="Protists - general"/>
    <s v="Marine protists"/>
    <m/>
    <m/>
    <n v="8.0000000000000007E-7"/>
    <m/>
    <m/>
    <m/>
    <m/>
    <m/>
    <m/>
    <m/>
    <m/>
    <m/>
    <m/>
    <n v="8.0000000000000002E-13"/>
    <s v="Bar-On et al. 2018 "/>
    <s v="≈0.8×10-12 g C cell-1 "/>
    <s v="na"/>
    <s v="na"/>
  </r>
  <r>
    <m/>
    <x v="2"/>
    <s v="Unicellular eukaryotes"/>
    <s v="smallest protist"/>
    <s v="na"/>
    <m/>
    <m/>
    <m/>
    <m/>
    <m/>
    <m/>
    <m/>
    <m/>
    <m/>
    <n v="1.6636233219143092E-6"/>
    <m/>
    <m/>
    <m/>
    <n v="1.6636233219143092E-12"/>
    <s v="Finlay 2002"/>
    <s v="log10-6 microg; log10 unit not given but must be carbon"/>
    <s v="na"/>
    <s v="na"/>
  </r>
  <r>
    <m/>
    <x v="2"/>
    <s v="Unicellular eukaryotes"/>
    <s v="Diatom, alive"/>
    <s v="Skeletonema costatum "/>
    <m/>
    <m/>
    <m/>
    <n v="193.93"/>
    <n v="1.9393000000000001E-4"/>
    <n v="1.9393000000000002E-7"/>
    <m/>
    <m/>
    <m/>
    <m/>
    <m/>
    <m/>
    <m/>
    <n v="1.044E-11"/>
    <s v="Rodríguez-Gómez et al. 2016"/>
    <n v="10.44"/>
    <s v="na"/>
    <s v="na"/>
  </r>
  <r>
    <m/>
    <x v="2"/>
    <s v="Unicellular eukaryotes"/>
    <s v="Diatom, fixed"/>
    <s v="Skeletonema costatum "/>
    <m/>
    <m/>
    <m/>
    <n v="193.93"/>
    <n v="1.9393000000000001E-4"/>
    <n v="1.9393000000000002E-7"/>
    <m/>
    <m/>
    <m/>
    <m/>
    <m/>
    <m/>
    <m/>
    <n v="1.0599999999999999E-11"/>
    <s v="Rodríguez-Gómez et al. 2016"/>
    <n v="10.6"/>
    <s v="na"/>
    <s v="na"/>
  </r>
  <r>
    <m/>
    <x v="2"/>
    <s v="Unicellular eukaryotes"/>
    <s v="Diatom, alive"/>
    <s v="Pseudo-nitzschia sp. "/>
    <m/>
    <m/>
    <m/>
    <n v="135.03"/>
    <n v="1.3503000000000001E-4"/>
    <n v="1.3503000000000001E-7"/>
    <m/>
    <m/>
    <m/>
    <m/>
    <m/>
    <m/>
    <m/>
    <n v="1.1410000000000001E-11"/>
    <s v="Rodríguez-Gómez et al. 2016"/>
    <n v="11.41"/>
    <s v="na"/>
    <s v="na"/>
  </r>
  <r>
    <m/>
    <x v="2"/>
    <s v="Unicellular eukaryotes"/>
    <s v="Diatom, fixed"/>
    <s v="Cylindrotheca closterium "/>
    <m/>
    <m/>
    <m/>
    <n v="205.15"/>
    <n v="2.0515E-4"/>
    <n v="2.0515000000000001E-7"/>
    <m/>
    <m/>
    <m/>
    <m/>
    <m/>
    <m/>
    <m/>
    <n v="1.46E-11"/>
    <s v="Rodríguez-Gómez et al. 2016"/>
    <n v="14.6"/>
    <s v="na"/>
    <s v="na"/>
  </r>
  <r>
    <m/>
    <x v="2"/>
    <s v="Unicellular eukaryotes"/>
    <s v="Diatom, fixed"/>
    <s v="Pseudo-nitzschia sp. "/>
    <m/>
    <m/>
    <m/>
    <n v="231.49"/>
    <n v="2.3149000000000002E-4"/>
    <n v="2.3149000000000002E-7"/>
    <m/>
    <m/>
    <m/>
    <m/>
    <m/>
    <m/>
    <m/>
    <n v="1.6780000000000002E-11"/>
    <s v="Rodríguez-Gómez et al. 2016"/>
    <n v="16.78"/>
    <s v="na"/>
    <s v="na"/>
  </r>
  <r>
    <m/>
    <x v="2"/>
    <s v="Unicellular eukaryotes"/>
    <s v="Diatom, alive"/>
    <s v="Cylindrotheca closterium "/>
    <m/>
    <m/>
    <m/>
    <n v="200.66"/>
    <n v="2.0065999999999999E-4"/>
    <n v="2.0066E-7"/>
    <m/>
    <m/>
    <m/>
    <m/>
    <m/>
    <m/>
    <m/>
    <n v="1.8539999999999998E-11"/>
    <s v="Rodríguez-Gómez et al. 2016"/>
    <n v="18.54"/>
    <s v="na"/>
    <s v="na"/>
  </r>
  <r>
    <m/>
    <x v="2"/>
    <s v="Unicellular eukaryotes"/>
    <s v="Ciliates"/>
    <s v="Ciliate small"/>
    <n v="15"/>
    <m/>
    <n v="2.7488935718910689E-5"/>
    <n v="196.34954084936206"/>
    <n v="1.9634954084936205E-4"/>
    <n v="1.9634954084936206E-7"/>
    <m/>
    <m/>
    <m/>
    <m/>
    <m/>
    <m/>
    <n v="1.4999999999999999E-5"/>
    <n v="2.7488935718910689E-11"/>
    <s v="unpublished data used in Reiss &amp; Schmid-Araya 2010"/>
    <m/>
    <s v="na"/>
    <s v="na"/>
  </r>
  <r>
    <m/>
    <x v="2"/>
    <s v="Unicellular eukaryotes"/>
    <s v="Diatoms"/>
    <s v="marine diatoms small"/>
    <m/>
    <m/>
    <n v="4.8000000000000001E-5"/>
    <n v="180"/>
    <n v="1.8000000000000001E-4"/>
    <n v="1.8000000000000002E-7"/>
    <m/>
    <m/>
    <m/>
    <m/>
    <m/>
    <m/>
    <m/>
    <n v="4.8000000000000002E-11"/>
    <s v="Menden-Deuer and Lessard 2000"/>
    <s v="picograms"/>
    <n v="48"/>
    <s v="na"/>
  </r>
  <r>
    <m/>
    <x v="2"/>
    <s v="Unicellular eukaryotes"/>
    <s v="Diatoms"/>
    <s v="Navicula gregaria"/>
    <m/>
    <m/>
    <n v="5.5249696969697002E-5"/>
    <m/>
    <m/>
    <m/>
    <m/>
    <m/>
    <m/>
    <m/>
    <m/>
    <m/>
    <m/>
    <n v="5.5249696969697003E-11"/>
    <s v="Katrin Layer data unpubl."/>
    <m/>
    <s v="na"/>
    <s v="na"/>
  </r>
  <r>
    <m/>
    <x v="2"/>
    <s v="Unicellular eukaryotes"/>
    <s v="Diatom, fixed"/>
    <s v="Thalassiosira hispida "/>
    <m/>
    <m/>
    <m/>
    <n v="1551.47"/>
    <n v="1.5514700000000001E-3"/>
    <n v="1.5514700000000001E-6"/>
    <m/>
    <m/>
    <m/>
    <m/>
    <m/>
    <m/>
    <m/>
    <n v="5.7700000000000005E-11"/>
    <s v="Rodríguez-Gómez et al. 2016"/>
    <n v="57.7"/>
    <s v="na"/>
    <s v="na"/>
  </r>
  <r>
    <m/>
    <x v="2"/>
    <s v="Unicellular eukaryotes"/>
    <s v="Diatom, alive"/>
    <s v="Thalassiosira hispida "/>
    <m/>
    <m/>
    <m/>
    <n v="1515.11"/>
    <n v="1.5151099999999999E-3"/>
    <n v="1.5151099999999998E-6"/>
    <m/>
    <m/>
    <m/>
    <m/>
    <m/>
    <m/>
    <m/>
    <n v="6.3529999999999999E-11"/>
    <s v="Rodríguez-Gómez et al. 2016"/>
    <n v="63.53"/>
    <s v="na"/>
    <s v="na"/>
  </r>
  <r>
    <m/>
    <x v="2"/>
    <s v="Unicellular eukaryotes"/>
    <s v="Unicellular eukaryotes - heterotroph"/>
    <s v="T. acuminata"/>
    <m/>
    <m/>
    <m/>
    <m/>
    <m/>
    <m/>
    <m/>
    <m/>
    <m/>
    <m/>
    <m/>
    <m/>
    <m/>
    <n v="7.8999999999999996E-10"/>
    <s v="Verity &amp; Langdon 1984"/>
    <m/>
    <n v="790"/>
    <s v="na"/>
  </r>
  <r>
    <m/>
    <x v="2"/>
    <s v="Unicellular eukaryotes"/>
    <s v="Diatoms"/>
    <s v="Nitzschia delicatissima"/>
    <m/>
    <m/>
    <n v="3.3884415613920239E-3"/>
    <n v="204.17379446695315"/>
    <n v="2.0417379446695315E-4"/>
    <n v="2.0417379446695315E-7"/>
    <m/>
    <m/>
    <m/>
    <m/>
    <m/>
    <m/>
    <m/>
    <n v="3.3884415613920241E-9"/>
    <s v="Barton et al. 2013"/>
    <s v="na"/>
    <s v="na"/>
    <s v="na"/>
  </r>
  <r>
    <m/>
    <x v="2"/>
    <s v="Unicellular eukaryotes"/>
    <s v="Diatoms"/>
    <s v="Nitzschia closterium"/>
    <m/>
    <m/>
    <n v="3.5727283815192878E-3"/>
    <n v="416.86938347033572"/>
    <n v="4.1686938347033572E-4"/>
    <n v="4.1686938347033573E-7"/>
    <m/>
    <m/>
    <m/>
    <m/>
    <m/>
    <m/>
    <m/>
    <n v="3.5727283815192877E-9"/>
    <s v="Barton et al. 2013"/>
    <s v="na"/>
    <s v="na"/>
    <s v="na"/>
  </r>
  <r>
    <m/>
    <x v="2"/>
    <s v="Unicellular eukaryotes"/>
    <s v="Diatoms"/>
    <s v="Asterionell akariana"/>
    <m/>
    <m/>
    <n v="3.630780547701011E-3"/>
    <n v="446.68359215096331"/>
    <n v="4.4668359215096332E-4"/>
    <n v="4.4668359215096333E-7"/>
    <m/>
    <m/>
    <m/>
    <m/>
    <m/>
    <m/>
    <m/>
    <n v="3.630780547701011E-9"/>
    <s v="Barton et al. 2013"/>
    <s v="na"/>
    <s v="na"/>
    <s v="na"/>
  </r>
  <r>
    <m/>
    <x v="2"/>
    <s v="Unicellular eukaryotes"/>
    <s v="Diatoms"/>
    <s v="Skeletone macostatum"/>
    <m/>
    <m/>
    <n v="3.6391503612720681E-3"/>
    <n v="512.86138399136519"/>
    <n v="5.1286138399136516E-4"/>
    <n v="5.1286138399136513E-7"/>
    <m/>
    <m/>
    <m/>
    <m/>
    <m/>
    <m/>
    <m/>
    <n v="3.6391503612720683E-9"/>
    <s v="Barton et al. 2013"/>
    <s v="na"/>
    <s v="na"/>
    <s v="na"/>
  </r>
  <r>
    <m/>
    <x v="2"/>
    <s v="Unicellular eukaryotes"/>
    <s v="Diatoms"/>
    <s v="Thalassionemanitzschioides"/>
    <m/>
    <m/>
    <n v="3.8282474331682212E-3"/>
    <n v="891.25093813374656"/>
    <n v="8.9125093813374658E-4"/>
    <n v="8.9125093813374656E-7"/>
    <m/>
    <m/>
    <m/>
    <m/>
    <m/>
    <m/>
    <m/>
    <n v="3.8282474331682211E-9"/>
    <s v="Barton et al. 2013"/>
    <s v="na"/>
    <s v="na"/>
    <s v="na"/>
  </r>
  <r>
    <m/>
    <x v="2"/>
    <s v="Unicellular eukaryotes"/>
    <s v="Diatoms"/>
    <s v="Nitzschia seriata"/>
    <m/>
    <m/>
    <n v="3.8994198667654332E-3"/>
    <n v="1122.0184543019636"/>
    <n v="1.1220184543019637E-3"/>
    <n v="1.1220184543019637E-6"/>
    <m/>
    <m/>
    <m/>
    <m/>
    <m/>
    <m/>
    <m/>
    <n v="3.8994198667654328E-9"/>
    <s v="Barton et al. 2013"/>
    <s v="na"/>
    <s v="na"/>
    <s v="na"/>
  </r>
  <r>
    <m/>
    <x v="2"/>
    <s v="Unicellular eukaryotes"/>
    <s v="Diatoms"/>
    <s v="Asterionella glacialis"/>
    <m/>
    <m/>
    <n v="3.9084089579240183E-3"/>
    <n v="1122.0184543019636"/>
    <n v="1.1220184543019637E-3"/>
    <n v="1.1220184543019637E-6"/>
    <m/>
    <m/>
    <m/>
    <m/>
    <m/>
    <m/>
    <m/>
    <n v="3.9084089579240179E-9"/>
    <s v="Barton et al. 2013"/>
    <s v="na"/>
    <s v="na"/>
    <s v="na"/>
  </r>
  <r>
    <m/>
    <x v="2"/>
    <s v="Unicellular eukaryotes"/>
    <s v="Diatoms"/>
    <s v="Fragilaria spp."/>
    <m/>
    <m/>
    <n v="3.9174187710778281E-3"/>
    <n v="9332.5430079699217"/>
    <n v="9.332543007969922E-3"/>
    <n v="9.3325430079699229E-6"/>
    <m/>
    <m/>
    <m/>
    <m/>
    <m/>
    <m/>
    <m/>
    <n v="3.9174187710778283E-9"/>
    <s v="Barton et al. 2013"/>
    <s v="na"/>
    <s v="na"/>
    <s v="na"/>
  </r>
  <r>
    <m/>
    <x v="2"/>
    <s v="Unicellular eukaryotes"/>
    <s v="Diatoms"/>
    <s v="Detonula confervacea"/>
    <m/>
    <m/>
    <n v="3.9902490236214195E-3"/>
    <n v="1513.5612484362093"/>
    <n v="1.5135612484362094E-3"/>
    <n v="1.5135612484362093E-6"/>
    <m/>
    <m/>
    <m/>
    <m/>
    <m/>
    <m/>
    <m/>
    <n v="3.9902490236214192E-9"/>
    <s v="Barton et al. 2013"/>
    <s v="na"/>
    <s v="na"/>
    <s v="na"/>
  </r>
  <r>
    <m/>
    <x v="2"/>
    <s v="Unicellular eukaryotes"/>
    <s v="Diatoms"/>
    <s v="Leptocylindrus danicus"/>
    <m/>
    <m/>
    <n v="4.0738027780411303E-3"/>
    <n v="1995.2623149688804"/>
    <n v="1.9952623149688807E-3"/>
    <n v="1.9952623149688808E-6"/>
    <m/>
    <m/>
    <m/>
    <m/>
    <m/>
    <m/>
    <m/>
    <n v="4.0738027780411305E-9"/>
    <s v="Barton et al. 2013"/>
    <s v="na"/>
    <s v="na"/>
    <s v="na"/>
  </r>
  <r>
    <m/>
    <x v="2"/>
    <s v="Unicellular eukaryotes"/>
    <s v="Diatoms"/>
    <s v="Rhaphoneis amphiceros"/>
    <m/>
    <m/>
    <n v="4.0831938633269158E-3"/>
    <s v="na"/>
    <m/>
    <m/>
    <m/>
    <m/>
    <m/>
    <m/>
    <m/>
    <m/>
    <m/>
    <n v="4.0831938633269159E-9"/>
    <s v="Barton et al. 2013"/>
    <s v="na"/>
    <s v="na"/>
    <s v="na"/>
  </r>
  <r>
    <m/>
    <x v="2"/>
    <s v="Unicellular eukaryotes"/>
    <s v="Diatoms"/>
    <s v="Paralias ulcata"/>
    <m/>
    <m/>
    <n v="4.1495404263436255E-3"/>
    <n v="1949.8445997580463"/>
    <n v="1.9498445997580462E-3"/>
    <n v="1.9498445997580463E-6"/>
    <m/>
    <m/>
    <m/>
    <m/>
    <m/>
    <m/>
    <m/>
    <n v="4.1495404263436253E-9"/>
    <s v="Barton et al. 2013"/>
    <s v="na"/>
    <s v="na"/>
    <s v="na"/>
  </r>
  <r>
    <m/>
    <x v="2"/>
    <s v="Unicellular eukaryotes"/>
    <s v="Diatoms"/>
    <s v="Chaetoceros(Hyalochaete) spp."/>
    <m/>
    <m/>
    <n v="4.1783036664662151E-3"/>
    <n v="2951.2092266663899"/>
    <n v="2.9512092266663899E-3"/>
    <n v="2.9512092266663901E-6"/>
    <m/>
    <m/>
    <m/>
    <m/>
    <m/>
    <m/>
    <m/>
    <n v="4.1783036664662149E-9"/>
    <s v="Barton et al. 2013"/>
    <s v="na"/>
    <s v="na"/>
    <s v="na"/>
  </r>
  <r>
    <m/>
    <x v="2"/>
    <s v="Unicellular eukaryotes"/>
    <s v="Diatoms"/>
    <s v="Bacillaria paxillifer"/>
    <m/>
    <m/>
    <n v="4.2854852039743959E-3"/>
    <n v="3388.4415613920255"/>
    <n v="3.3884415613920256E-3"/>
    <n v="3.3884415613920254E-6"/>
    <m/>
    <m/>
    <m/>
    <m/>
    <m/>
    <m/>
    <m/>
    <n v="4.285485203974396E-9"/>
    <s v="Barton et al. 2013"/>
    <s v="na"/>
    <s v="na"/>
    <s v="na"/>
  </r>
  <r>
    <m/>
    <x v="2"/>
    <s v="Unicellular eukaryotes"/>
    <s v="Diatoms"/>
    <s v="Navicula spp."/>
    <m/>
    <m/>
    <n v="4.3954161543782403E-3"/>
    <n v="5623.4132519034993"/>
    <n v="5.6234132519034996E-3"/>
    <n v="5.6234132519034997E-6"/>
    <m/>
    <m/>
    <m/>
    <m/>
    <m/>
    <m/>
    <m/>
    <n v="4.3954161543782406E-9"/>
    <s v="Barton et al. 2013"/>
    <s v="na"/>
    <s v="na"/>
    <s v="na"/>
  </r>
  <r>
    <m/>
    <x v="2"/>
    <s v="Unicellular eukaryotes"/>
    <s v="Diatoms"/>
    <s v="Nitzschia spp."/>
    <m/>
    <m/>
    <n v="4.3954161543782403E-3"/>
    <n v="7413.1024130091773"/>
    <n v="7.4131024130091776E-3"/>
    <n v="7.413102413009178E-6"/>
    <m/>
    <m/>
    <m/>
    <m/>
    <m/>
    <m/>
    <m/>
    <n v="4.3954161543782406E-9"/>
    <s v="Barton et al. 2013"/>
    <s v="na"/>
    <s v="na"/>
    <s v="na"/>
  </r>
  <r>
    <m/>
    <x v="2"/>
    <s v="Unicellular eukaryotes"/>
    <s v="Diatoms"/>
    <s v="Bacteria strumspp."/>
    <m/>
    <m/>
    <n v="4.4360864393143207E-3"/>
    <n v="5495.4087385762541"/>
    <n v="5.4954087385762542E-3"/>
    <n v="5.4954087385762544E-6"/>
    <m/>
    <m/>
    <m/>
    <m/>
    <m/>
    <m/>
    <m/>
    <n v="4.4360864393143206E-9"/>
    <s v="Barton et al. 2013"/>
    <s v="na"/>
    <s v="na"/>
    <s v="na"/>
  </r>
  <r>
    <m/>
    <x v="2"/>
    <s v="Unicellular eukaryotes"/>
    <s v="Diatoms"/>
    <s v="Thalassiothrix longissima"/>
    <m/>
    <m/>
    <n v="4.4565624839750309E-3"/>
    <n v="6918.3097091893687"/>
    <n v="6.9183097091893688E-3"/>
    <n v="6.9183097091893685E-6"/>
    <m/>
    <m/>
    <m/>
    <m/>
    <m/>
    <m/>
    <m/>
    <n v="4.456562483975031E-9"/>
    <s v="Barton et al. 2013"/>
    <s v="na"/>
    <s v="na"/>
    <s v="na"/>
  </r>
  <r>
    <m/>
    <x v="2"/>
    <s v="Unicellular eukaryotes"/>
    <s v="Diatoms"/>
    <s v="Chaetoceros(Phaeoceros) spp."/>
    <m/>
    <m/>
    <n v="4.4668359215096279E-3"/>
    <n v="6456.5422903465615"/>
    <n v="6.456542290346561E-3"/>
    <n v="6.4565422903465608E-6"/>
    <m/>
    <m/>
    <m/>
    <m/>
    <m/>
    <m/>
    <m/>
    <n v="4.4668359215096277E-9"/>
    <s v="Barton et al. 2013"/>
    <s v="na"/>
    <s v="na"/>
    <s v="na"/>
  </r>
  <r>
    <m/>
    <x v="2"/>
    <s v="Unicellular eukaryotes"/>
    <s v="Diatoms"/>
    <s v="Climacodium frauenfeldianum"/>
    <m/>
    <m/>
    <n v="4.539416166502031E-3"/>
    <n v="6918.3097091893687"/>
    <n v="6.9183097091893688E-3"/>
    <n v="6.9183097091893685E-6"/>
    <m/>
    <m/>
    <m/>
    <m/>
    <m/>
    <m/>
    <m/>
    <n v="4.5394161665020312E-9"/>
    <s v="Barton et al. 2013"/>
    <s v="na"/>
    <s v="na"/>
    <s v="na"/>
  </r>
  <r>
    <m/>
    <x v="2"/>
    <s v="Unicellular eukaryotes"/>
    <s v="Dinoflagellates"/>
    <s v="Cladopyxis spp."/>
    <m/>
    <m/>
    <n v="4.5603691595129591E-3"/>
    <n v="2951.2092266663899"/>
    <n v="2.9512092266663899E-3"/>
    <n v="2.9512092266663901E-6"/>
    <m/>
    <m/>
    <m/>
    <m/>
    <m/>
    <m/>
    <m/>
    <n v="4.5603691595129594E-9"/>
    <s v="Barton et al. 2013"/>
    <s v="na"/>
    <s v="na"/>
    <s v="na"/>
  </r>
  <r>
    <m/>
    <x v="2"/>
    <s v="Unicellular eukaryotes"/>
    <s v="Diatoms"/>
    <s v="Rhizosolenia delicatula"/>
    <m/>
    <m/>
    <n v="4.5708818961487504E-3"/>
    <n v="10000"/>
    <n v="0.01"/>
    <n v="1.0000000000000001E-5"/>
    <m/>
    <m/>
    <m/>
    <m/>
    <m/>
    <m/>
    <m/>
    <n v="4.5708818961487501E-9"/>
    <s v="Barton et al. 2013"/>
    <s v="na"/>
    <s v="na"/>
    <s v="na"/>
  </r>
  <r>
    <m/>
    <x v="2"/>
    <s v="Unicellular eukaryotes"/>
    <s v="Diatoms"/>
    <s v="Eucampia zodiacus"/>
    <m/>
    <m/>
    <n v="4.7097732639695264E-3"/>
    <n v="12022.644346174151"/>
    <n v="1.2022644346174151E-2"/>
    <n v="1.202264434617415E-5"/>
    <m/>
    <m/>
    <m/>
    <m/>
    <m/>
    <m/>
    <m/>
    <n v="4.7097732639695264E-9"/>
    <s v="Barton et al. 2013"/>
    <s v="na"/>
    <s v="na"/>
    <s v="na"/>
  </r>
  <r>
    <m/>
    <x v="2"/>
    <s v="Unicellular eukaryotes"/>
    <s v="Dinoflagellates"/>
    <s v="Pronoctiluca pelagica"/>
    <m/>
    <m/>
    <n v="4.7315125896148008E-3"/>
    <n v="4365.1583224016631"/>
    <n v="4.3651583224016627E-3"/>
    <n v="4.3651583224016625E-6"/>
    <m/>
    <m/>
    <m/>
    <m/>
    <m/>
    <m/>
    <m/>
    <n v="4.7315125896148011E-9"/>
    <s v="Barton et al. 2013"/>
    <s v="na"/>
    <s v="na"/>
    <s v="na"/>
  </r>
  <r>
    <m/>
    <x v="2"/>
    <s v="Unicellular eukaryotes"/>
    <s v="Diatoms"/>
    <s v="Planktoniella sol"/>
    <m/>
    <m/>
    <n v="4.7973344863668898E-3"/>
    <n v="70794.578438413781"/>
    <n v="7.0794578438413774E-2"/>
    <n v="7.0794578438413772E-5"/>
    <m/>
    <m/>
    <m/>
    <m/>
    <m/>
    <m/>
    <m/>
    <n v="4.7973344863668895E-9"/>
    <s v="Barton et al. 2013"/>
    <s v="na"/>
    <s v="na"/>
    <s v="na"/>
  </r>
  <r>
    <m/>
    <x v="2"/>
    <s v="Unicellular eukaryotes"/>
    <s v="Diatoms"/>
    <s v="Rhizosolenia fragilissima"/>
    <m/>
    <m/>
    <n v="4.8305880203977272E-3"/>
    <n v="16982.436524617482"/>
    <n v="1.6982436524617481E-2"/>
    <n v="1.6982436524617483E-5"/>
    <m/>
    <m/>
    <m/>
    <m/>
    <m/>
    <m/>
    <m/>
    <n v="4.8305880203977269E-9"/>
    <s v="Barton et al. 2013"/>
    <s v="na"/>
    <s v="na"/>
    <s v="na"/>
  </r>
  <r>
    <m/>
    <x v="2"/>
    <s v="Unicellular eukaryotes"/>
    <s v="Dinoflagellates"/>
    <s v="Oxytoxum spp."/>
    <m/>
    <m/>
    <n v="4.8640720569146185E-3"/>
    <n v="5888.4365535558973"/>
    <n v="5.8884365535558977E-3"/>
    <n v="5.8884365535558977E-6"/>
    <m/>
    <m/>
    <m/>
    <m/>
    <m/>
    <m/>
    <m/>
    <n v="4.8640720569146182E-9"/>
    <s v="Barton et al. 2013"/>
    <s v="na"/>
    <s v="na"/>
    <s v="na"/>
  </r>
  <r>
    <m/>
    <x v="2"/>
    <s v="Unicellular eukaryotes"/>
    <s v="Diatoms"/>
    <s v="Asteromphalus spp."/>
    <m/>
    <m/>
    <n v="4.8640720569146185E-3"/>
    <n v="17378.008287493791"/>
    <n v="1.737800828749379E-2"/>
    <n v="1.7378008287493791E-5"/>
    <m/>
    <m/>
    <m/>
    <m/>
    <m/>
    <m/>
    <m/>
    <n v="4.8640720569146182E-9"/>
    <s v="Barton et al. 2013"/>
    <s v="na"/>
    <s v="na"/>
    <s v="na"/>
  </r>
  <r>
    <m/>
    <x v="2"/>
    <s v="Unicellular eukaryotes"/>
    <s v="Diatoms"/>
    <s v="Hemiaulus spp."/>
    <m/>
    <m/>
    <n v="4.8752849010338557E-3"/>
    <n v="20417.379446695286"/>
    <n v="2.0417379446695284E-2"/>
    <n v="2.0417379446695284E-5"/>
    <m/>
    <m/>
    <m/>
    <m/>
    <m/>
    <m/>
    <m/>
    <n v="4.8752849010338555E-9"/>
    <s v="Barton et al. 2013"/>
    <s v="na"/>
    <s v="na"/>
    <s v="na"/>
  </r>
  <r>
    <m/>
    <x v="2"/>
    <s v="Unicellular eukaryotes"/>
    <s v="Diatoms"/>
    <s v="Dactyliosolen mediterraneus"/>
    <m/>
    <m/>
    <n v="4.8977881936844566E-3"/>
    <n v="19952.623149688792"/>
    <n v="1.9952623149688792E-2"/>
    <n v="1.9952623149688793E-5"/>
    <m/>
    <m/>
    <m/>
    <m/>
    <m/>
    <m/>
    <m/>
    <n v="4.8977881936844567E-9"/>
    <s v="Barton et al. 2013"/>
    <s v="na"/>
    <s v="na"/>
    <s v="na"/>
  </r>
  <r>
    <m/>
    <x v="2"/>
    <s v="Unicellular eukaryotes"/>
    <s v="Diatoms"/>
    <s v="Schroederella delicatula"/>
    <m/>
    <m/>
    <n v="4.8977881936844566E-3"/>
    <n v="20892.961308540423"/>
    <n v="2.0892961308540424E-2"/>
    <n v="2.0892961308540423E-5"/>
    <m/>
    <m/>
    <m/>
    <m/>
    <m/>
    <m/>
    <m/>
    <n v="4.8977881936844567E-9"/>
    <s v="Barton et al. 2013"/>
    <s v="na"/>
    <s v="na"/>
    <s v="na"/>
  </r>
  <r>
    <m/>
    <x v="2"/>
    <s v="Unicellular eukaryotes"/>
    <s v="Diatoms"/>
    <s v="Stauroneis membranacea"/>
    <m/>
    <m/>
    <n v="5.0003453497697798E-3"/>
    <n v="24547.089156850321"/>
    <n v="2.4547089156850322E-2"/>
    <n v="2.4547089156850323E-5"/>
    <m/>
    <m/>
    <m/>
    <m/>
    <m/>
    <m/>
    <m/>
    <n v="5.0003453497697801E-9"/>
    <s v="Barton et al. 2013"/>
    <s v="na"/>
    <s v="na"/>
    <s v="na"/>
  </r>
  <r>
    <m/>
    <x v="2"/>
    <s v="Unicellular eukaryotes"/>
    <s v="Diatoms"/>
    <s v="Lauderia borealis"/>
    <m/>
    <m/>
    <n v="5.0118723362727212E-3"/>
    <n v="25118.86431509586"/>
    <n v="2.511886431509586E-2"/>
    <n v="2.5118864315095859E-5"/>
    <m/>
    <m/>
    <m/>
    <m/>
    <m/>
    <m/>
    <m/>
    <n v="5.0118723362727213E-9"/>
    <s v="Barton et al. 2013"/>
    <s v="na"/>
    <s v="na"/>
    <s v="na"/>
  </r>
  <r>
    <m/>
    <x v="2"/>
    <s v="Unicellular eukaryotes"/>
    <s v="Diatoms"/>
    <s v="Actinoptychus spp."/>
    <m/>
    <m/>
    <n v="5.035006087879045E-3"/>
    <n v="25703.95782768865"/>
    <n v="2.570395782768865E-2"/>
    <n v="2.5703957827688648E-5"/>
    <m/>
    <m/>
    <m/>
    <m/>
    <m/>
    <m/>
    <m/>
    <n v="5.0350060878790449E-9"/>
    <s v="Barton et al. 2013"/>
    <s v="na"/>
    <s v="na"/>
    <s v="na"/>
  </r>
  <r>
    <m/>
    <x v="2"/>
    <s v="Unicellular eukaryotes"/>
    <s v="Diatoms"/>
    <s v="Thalassiosira spp."/>
    <m/>
    <m/>
    <n v="5.0582466200311356E-3"/>
    <n v="32359.365692962871"/>
    <n v="3.2359365692962869E-2"/>
    <n v="3.235936569296287E-5"/>
    <m/>
    <m/>
    <m/>
    <m/>
    <m/>
    <m/>
    <m/>
    <n v="5.0582466200311353E-9"/>
    <s v="Barton et al. 2013"/>
    <s v="na"/>
    <s v="na"/>
    <s v="na"/>
  </r>
  <r>
    <m/>
    <x v="2"/>
    <s v="Unicellular eukaryotes"/>
    <s v="Diatoms"/>
    <s v="Cerataulina pelagica"/>
    <m/>
    <m/>
    <n v="5.0815944256056029E-3"/>
    <n v="27542.287033381719"/>
    <n v="2.754228703338172E-2"/>
    <n v="2.7542287033381721E-5"/>
    <m/>
    <m/>
    <m/>
    <m/>
    <m/>
    <m/>
    <m/>
    <n v="5.0815944256056027E-9"/>
    <s v="Barton et al. 2013"/>
    <s v="na"/>
    <s v="na"/>
    <s v="na"/>
  </r>
  <r>
    <m/>
    <x v="2"/>
    <s v="Unicellular eukaryotes"/>
    <s v="Diatoms"/>
    <s v="Biddulphia aurita"/>
    <m/>
    <m/>
    <n v="5.1050499997540577E-3"/>
    <n v="35481.33892335758"/>
    <n v="3.5481338923357579E-2"/>
    <n v="3.5481338923357581E-5"/>
    <m/>
    <m/>
    <m/>
    <m/>
    <m/>
    <m/>
    <m/>
    <n v="5.105049999754058E-9"/>
    <s v="Barton et al. 2013"/>
    <s v="na"/>
    <s v="na"/>
    <s v="na"/>
  </r>
  <r>
    <m/>
    <x v="2"/>
    <s v="Unicellular eukaryotes"/>
    <s v="Dinoflagellates"/>
    <s v="Prorocentrum spp."/>
    <m/>
    <m/>
    <n v="5.1286138399136471E-3"/>
    <n v="10471.285480509003"/>
    <n v="1.0471285480509003E-2"/>
    <n v="1.0471285480509002E-5"/>
    <m/>
    <m/>
    <m/>
    <m/>
    <m/>
    <m/>
    <m/>
    <n v="5.1286138399136468E-9"/>
    <s v="Barton et al. 2013"/>
    <s v="na"/>
    <s v="na"/>
    <s v="na"/>
  </r>
  <r>
    <m/>
    <x v="2"/>
    <s v="Unicellular eukaryotes"/>
    <s v="Diatoms"/>
    <s v="Rhizosolenia stolterfothii"/>
    <m/>
    <m/>
    <n v="5.1404365158242583E-3"/>
    <n v="38018.939632056143"/>
    <n v="3.8018939632056145E-2"/>
    <n v="3.8018939632056144E-5"/>
    <m/>
    <m/>
    <m/>
    <m/>
    <m/>
    <m/>
    <m/>
    <n v="5.1404365158242582E-9"/>
    <s v="Barton et al. 2013"/>
    <s v="na"/>
    <s v="na"/>
    <s v="na"/>
  </r>
  <r>
    <m/>
    <x v="2"/>
    <s v="Unicellular eukaryotes"/>
    <s v="Diatoms"/>
    <s v="Biddulphia alternans"/>
    <m/>
    <m/>
    <n v="5.1760683195056752E-3"/>
    <n v="56234.132519034953"/>
    <n v="5.6234132519034953E-2"/>
    <n v="5.6234132519034954E-5"/>
    <m/>
    <m/>
    <m/>
    <m/>
    <m/>
    <m/>
    <m/>
    <n v="5.1760683195056755E-9"/>
    <s v="Barton et al. 2013"/>
    <s v="na"/>
    <s v="na"/>
    <s v="na"/>
  </r>
  <r>
    <m/>
    <x v="2"/>
    <s v="Unicellular eukaryotes"/>
    <s v="Diatoms"/>
    <s v="Gyrosigma spp."/>
    <m/>
    <m/>
    <n v="5.1880003892896048E-3"/>
    <n v="39810.717055349742"/>
    <n v="3.9810717055349741E-2"/>
    <n v="3.9810717055349742E-5"/>
    <m/>
    <m/>
    <m/>
    <m/>
    <m/>
    <m/>
    <m/>
    <n v="5.188000389289605E-9"/>
    <s v="Barton et al. 2013"/>
    <s v="na"/>
    <s v="na"/>
    <s v="na"/>
  </r>
  <r>
    <m/>
    <x v="2"/>
    <s v="Unicellular eukaryotes"/>
    <s v="Diatoms"/>
    <s v="Rhizosolenia imbricatashrubsolei"/>
    <m/>
    <m/>
    <n v="5.2360043658575056E-3"/>
    <n v="44668.359215096389"/>
    <n v="4.466835921509639E-2"/>
    <n v="4.4668359215096389E-5"/>
    <m/>
    <m/>
    <m/>
    <m/>
    <m/>
    <m/>
    <m/>
    <n v="5.2360043658575059E-9"/>
    <s v="Barton et al. 2013"/>
    <s v="na"/>
    <s v="na"/>
    <s v="na"/>
  </r>
  <r>
    <m/>
    <x v="2"/>
    <s v="Unicellular eukaryotes"/>
    <s v="Diatoms"/>
    <s v="Corethron criophilum"/>
    <m/>
    <m/>
    <n v="5.2966344389165721E-3"/>
    <n v="51286.138399136544"/>
    <n v="5.1286138399136545E-2"/>
    <n v="5.1286138399136542E-5"/>
    <m/>
    <m/>
    <m/>
    <m/>
    <m/>
    <m/>
    <m/>
    <n v="5.2966344389165717E-9"/>
    <s v="Barton et al. 2013"/>
    <s v="na"/>
    <s v="na"/>
    <s v="na"/>
  </r>
  <r>
    <m/>
    <x v="2"/>
    <s v="Unicellular eukaryotes"/>
    <s v="Dinoflagellates"/>
    <s v="Ceratium minutum"/>
    <m/>
    <m/>
    <n v="5.345643593969716E-3"/>
    <n v="16218.100973589309"/>
    <n v="1.6218100973589309E-2"/>
    <n v="1.6218100973589309E-5"/>
    <m/>
    <m/>
    <m/>
    <m/>
    <m/>
    <m/>
    <m/>
    <n v="5.3456435939697161E-9"/>
    <s v="Barton et al. 2013"/>
    <s v="na"/>
    <s v="na"/>
    <s v="na"/>
  </r>
  <r>
    <m/>
    <x v="2"/>
    <s v="Unicellular eukaryotes"/>
    <s v="Diatoms"/>
    <s v="Streptothe catamesis"/>
    <m/>
    <m/>
    <n v="5.3579665751334144E-3"/>
    <n v="61659.500186148245"/>
    <n v="6.1659500186148242E-2"/>
    <n v="6.1659500186148238E-5"/>
    <m/>
    <m/>
    <m/>
    <m/>
    <m/>
    <m/>
    <m/>
    <n v="5.3579665751334147E-9"/>
    <s v="Barton et al. 2013"/>
    <s v="na"/>
    <s v="na"/>
    <s v="na"/>
  </r>
  <r>
    <m/>
    <x v="2"/>
    <s v="Unicellular eukaryotes"/>
    <s v="Diatoms"/>
    <s v="Rhizosolenia alataalata"/>
    <m/>
    <m/>
    <n v="5.4200089040162365E-3"/>
    <n v="74131.024130091857"/>
    <n v="7.4131024130091858E-2"/>
    <n v="7.4131024130091858E-5"/>
    <m/>
    <m/>
    <m/>
    <m/>
    <m/>
    <m/>
    <m/>
    <n v="5.4200089040162367E-9"/>
    <s v="Barton et al. 2013"/>
    <s v="na"/>
    <s v="na"/>
    <s v="na"/>
  </r>
  <r>
    <m/>
    <x v="2"/>
    <s v="Unicellular eukaryotes"/>
    <s v="Dinoflagellates"/>
    <s v="Protoceratiumreticulatum"/>
    <m/>
    <m/>
    <n v="5.4325033149243331E-3"/>
    <n v="19054.607179632505"/>
    <n v="1.9054607179632504E-2"/>
    <n v="1.9054607179632504E-5"/>
    <m/>
    <m/>
    <m/>
    <m/>
    <m/>
    <m/>
    <m/>
    <n v="5.4325033149243328E-9"/>
    <s v="Barton et al. 2013"/>
    <s v="na"/>
    <s v="na"/>
    <s v="na"/>
  </r>
  <r>
    <m/>
    <x v="2"/>
    <s v="Unicellular eukaryotes"/>
    <s v="Diatoms"/>
    <s v="Rhizosolenia hebetatasemispina"/>
    <m/>
    <m/>
    <n v="5.4325033149243331E-3"/>
    <n v="70794.578438413781"/>
    <n v="7.0794578438413774E-2"/>
    <n v="7.0794578438413772E-5"/>
    <m/>
    <m/>
    <m/>
    <m/>
    <m/>
    <m/>
    <m/>
    <n v="5.4325033149243328E-9"/>
    <s v="Barton et al. 2013"/>
    <s v="na"/>
    <s v="na"/>
    <s v="na"/>
  </r>
  <r>
    <m/>
    <x v="2"/>
    <s v="Unicellular eukaryotes"/>
    <s v="Diatoms"/>
    <s v="Rhizosolenia alatainermis"/>
    <m/>
    <m/>
    <n v="5.4325033149243331E-3"/>
    <n v="64565.422903465565"/>
    <n v="6.4565422903465564E-2"/>
    <n v="6.4565422903465559E-5"/>
    <m/>
    <m/>
    <m/>
    <m/>
    <m/>
    <m/>
    <m/>
    <n v="5.4325033149243328E-9"/>
    <s v="Barton et al. 2013"/>
    <s v="na"/>
    <s v="na"/>
    <s v="na"/>
  </r>
  <r>
    <m/>
    <x v="2"/>
    <s v="Unicellular eukaryotes"/>
    <s v="Dinoflagellates"/>
    <s v="Ceratium buceros"/>
    <m/>
    <m/>
    <n v="5.4954087385762421E-3"/>
    <n v="21877.61623949555"/>
    <n v="2.1877616239495551E-2"/>
    <n v="2.187761623949555E-5"/>
    <m/>
    <m/>
    <m/>
    <m/>
    <m/>
    <m/>
    <m/>
    <n v="5.4954087385762422E-9"/>
    <s v="Barton et al. 2013"/>
    <s v="na"/>
    <s v="na"/>
    <s v="na"/>
  </r>
  <r>
    <m/>
    <x v="2"/>
    <s v="Unicellular eukaryotes"/>
    <s v="Diatoms"/>
    <s v="Ditylum brightwellii"/>
    <m/>
    <m/>
    <n v="5.4954087385762421E-3"/>
    <n v="75857.757502918481"/>
    <n v="7.5857757502918483E-2"/>
    <n v="7.585775750291848E-5"/>
    <m/>
    <m/>
    <m/>
    <m/>
    <m/>
    <m/>
    <m/>
    <n v="5.4954087385762422E-9"/>
    <s v="Barton et al. 2013"/>
    <s v="na"/>
    <s v="na"/>
    <s v="na"/>
  </r>
  <r>
    <m/>
    <x v="2"/>
    <s v="Unicellular eukaryotes"/>
    <s v="Dinoflagellates"/>
    <s v="Ceratium inflatum"/>
    <m/>
    <m/>
    <n v="5.5590425727040319E-3"/>
    <n v="23988.329190194923"/>
    <n v="2.3988329190194925E-2"/>
    <n v="2.3988329190194924E-5"/>
    <m/>
    <m/>
    <m/>
    <m/>
    <m/>
    <m/>
    <m/>
    <n v="5.5590425727040323E-9"/>
    <s v="Barton et al. 2013"/>
    <s v="na"/>
    <s v="na"/>
    <s v="na"/>
  </r>
  <r>
    <m/>
    <x v="2"/>
    <s v="Unicellular eukaryotes"/>
    <s v="Dinoflagellates"/>
    <s v="Ceratium trichoceros"/>
    <m/>
    <m/>
    <n v="5.6104797603246971E-3"/>
    <n v="26915.348039269167"/>
    <n v="2.6915348039269166E-2"/>
    <n v="2.6915348039269167E-5"/>
    <m/>
    <m/>
    <m/>
    <m/>
    <m/>
    <m/>
    <m/>
    <n v="5.6104797603246974E-9"/>
    <s v="Barton et al. 2013"/>
    <s v="na"/>
    <s v="na"/>
    <s v="na"/>
  </r>
  <r>
    <m/>
    <x v="2"/>
    <s v="Unicellular eukaryotes"/>
    <s v="Dinoflagellates"/>
    <s v="Exuviaella spp."/>
    <m/>
    <m/>
    <n v="5.6104797603246971E-3"/>
    <n v="26915.348039269167"/>
    <n v="2.6915348039269166E-2"/>
    <n v="2.6915348039269167E-5"/>
    <m/>
    <m/>
    <m/>
    <m/>
    <m/>
    <m/>
    <m/>
    <n v="5.6104797603246974E-9"/>
    <s v="Barton et al. 2013"/>
    <s v="na"/>
    <s v="na"/>
    <s v="na"/>
  </r>
  <r>
    <m/>
    <x v="2"/>
    <s v="Unicellular eukaryotes"/>
    <s v="Diatoms"/>
    <s v="Bellerocheamalleus"/>
    <m/>
    <m/>
    <n v="5.6493697481230197E-3"/>
    <n v="141253.75446227577"/>
    <n v="0.14125375446227578"/>
    <n v="1.4125375446227579E-4"/>
    <m/>
    <m/>
    <m/>
    <m/>
    <m/>
    <m/>
    <m/>
    <n v="5.6493697481230199E-9"/>
    <s v="Barton et al. 2013"/>
    <s v="na"/>
    <s v="na"/>
    <s v="na"/>
  </r>
  <r>
    <m/>
    <x v="2"/>
    <s v="Unicellular eukaryotes"/>
    <s v="Dinoflagellates"/>
    <s v="Ceratium kofoidii"/>
    <m/>
    <m/>
    <n v="5.6754460540854677E-3"/>
    <n v="30902.954325135954"/>
    <n v="3.0902954325135953E-2"/>
    <n v="3.0902954325135955E-5"/>
    <m/>
    <m/>
    <m/>
    <m/>
    <m/>
    <m/>
    <m/>
    <n v="5.6754460540854677E-9"/>
    <s v="Barton et al. 2013"/>
    <s v="na"/>
    <s v="na"/>
    <s v="na"/>
  </r>
  <r>
    <m/>
    <x v="2"/>
    <s v="Unicellular eukaryotes"/>
    <s v="Dinoflagellates"/>
    <s v="Ceratium longirostrum"/>
    <m/>
    <m/>
    <n v="5.6754460540854677E-3"/>
    <n v="30199.517204020212"/>
    <n v="3.0199517204020213E-2"/>
    <n v="3.0199517204020212E-5"/>
    <m/>
    <m/>
    <m/>
    <m/>
    <m/>
    <m/>
    <m/>
    <n v="5.6754460540854677E-9"/>
    <s v="Barton et al. 2013"/>
    <s v="na"/>
    <s v="na"/>
    <s v="na"/>
  </r>
  <r>
    <m/>
    <x v="2"/>
    <s v="Unicellular eukaryotes"/>
    <s v="Dinoflagellates"/>
    <s v="Gonyaulax spp."/>
    <m/>
    <m/>
    <n v="5.7411646220732722E-3"/>
    <n v="36307.805477010166"/>
    <n v="3.6307805477010166E-2"/>
    <n v="3.6307805477010167E-5"/>
    <m/>
    <m/>
    <m/>
    <m/>
    <m/>
    <m/>
    <m/>
    <n v="5.7411646220732719E-9"/>
    <s v="Barton et al. 2013"/>
    <s v="na"/>
    <s v="na"/>
    <s v="na"/>
  </r>
  <r>
    <m/>
    <x v="2"/>
    <s v="Unicellular eukaryotes"/>
    <s v="Diatoms"/>
    <s v="Surirella spp."/>
    <m/>
    <m/>
    <n v="5.7411646220732722E-3"/>
    <n v="169824.36524617471"/>
    <n v="0.16982436524617472"/>
    <n v="1.6982436524617473E-4"/>
    <m/>
    <m/>
    <m/>
    <m/>
    <m/>
    <m/>
    <m/>
    <n v="5.7411646220732719E-9"/>
    <s v="Barton et al. 2013"/>
    <s v="na"/>
    <s v="na"/>
    <s v="na"/>
  </r>
  <r>
    <m/>
    <x v="2"/>
    <s v="Unicellular eukaryotes"/>
    <s v="Diatoms"/>
    <s v="Stephanopyxis spp."/>
    <m/>
    <m/>
    <n v="5.7543993733715701E-3"/>
    <n v="134896.28825916545"/>
    <n v="0.13489628825916544"/>
    <n v="1.3489628825916544E-4"/>
    <m/>
    <m/>
    <m/>
    <m/>
    <m/>
    <m/>
    <m/>
    <n v="5.7543993733715702E-9"/>
    <s v="Barton et al. 2013"/>
    <s v="na"/>
    <s v="na"/>
    <s v="na"/>
  </r>
  <r>
    <m/>
    <x v="2"/>
    <s v="Unicellular eukaryotes"/>
    <s v="Dinoflagellates"/>
    <s v="Ceratium lineatum"/>
    <m/>
    <m/>
    <n v="5.767664633922507E-3"/>
    <n v="37153.522909717351"/>
    <n v="3.7153522909717351E-2"/>
    <n v="3.7153522909717352E-5"/>
    <m/>
    <m/>
    <m/>
    <m/>
    <m/>
    <m/>
    <m/>
    <n v="5.7676646339225071E-9"/>
    <s v="Barton et al. 2013"/>
    <s v="na"/>
    <s v="na"/>
    <s v="na"/>
  </r>
  <r>
    <m/>
    <x v="2"/>
    <s v="Unicellular eukaryotes"/>
    <s v="Diatoms"/>
    <s v="Guinardia flaccida"/>
    <m/>
    <m/>
    <n v="5.7809604740571797E-3"/>
    <n v="131825.67385564081"/>
    <n v="0.13182567385564081"/>
    <n v="1.3182567385564082E-4"/>
    <m/>
    <m/>
    <m/>
    <m/>
    <m/>
    <m/>
    <m/>
    <n v="5.7809604740571795E-9"/>
    <s v="Barton et al. 2013"/>
    <s v="na"/>
    <s v="na"/>
    <s v="na"/>
  </r>
  <r>
    <m/>
    <x v="2"/>
    <s v="Unicellular eukaryotes"/>
    <s v="Diatoms"/>
    <s v="Rhizosolenia alataindica"/>
    <m/>
    <m/>
    <n v="5.8613816451402847E-3"/>
    <n v="165958.69074375604"/>
    <n v="0.16595869074375605"/>
    <n v="1.6595869074375604E-4"/>
    <m/>
    <m/>
    <m/>
    <m/>
    <m/>
    <m/>
    <m/>
    <n v="5.8613816451402845E-9"/>
    <s v="Barton et al. 2013"/>
    <s v="na"/>
    <s v="na"/>
    <s v="na"/>
  </r>
  <r>
    <m/>
    <x v="2"/>
    <s v="Unicellular eukaryotes"/>
    <s v="Diatoms"/>
    <s v="Biddulphia granulata"/>
    <m/>
    <m/>
    <n v="5.8613816451402847E-3"/>
    <n v="158489.31924611164"/>
    <n v="0.15848931924611165"/>
    <n v="1.5848931924611164E-4"/>
    <m/>
    <m/>
    <m/>
    <m/>
    <m/>
    <m/>
    <m/>
    <n v="5.8613816451402845E-9"/>
    <s v="Barton et al. 2013"/>
    <s v="na"/>
    <s v="na"/>
    <s v="na"/>
  </r>
  <r>
    <m/>
    <x v="2"/>
    <s v="Unicellular eukaryotes"/>
    <s v="Dinoflagellates"/>
    <s v="Ceratium declinatum"/>
    <m/>
    <m/>
    <n v="5.8748935252977679E-3"/>
    <n v="43651.583224016598"/>
    <n v="4.3651583224016598E-2"/>
    <n v="4.36515832240166E-5"/>
    <m/>
    <m/>
    <m/>
    <m/>
    <m/>
    <m/>
    <m/>
    <n v="5.8748935252977677E-9"/>
    <s v="Barton et al. 2013"/>
    <s v="na"/>
    <s v="na"/>
    <s v="na"/>
  </r>
  <r>
    <m/>
    <x v="2"/>
    <s v="Unicellular eukaryotes"/>
    <s v="Dinoflagellates"/>
    <s v="Ceratium teres"/>
    <m/>
    <m/>
    <n v="5.8884365535558899E-3"/>
    <n v="45708.818961487581"/>
    <n v="4.5708818961487582E-2"/>
    <n v="4.5708818961487584E-5"/>
    <m/>
    <m/>
    <m/>
    <m/>
    <m/>
    <m/>
    <m/>
    <n v="5.8884365535558895E-9"/>
    <s v="Barton et al. 2013"/>
    <s v="na"/>
    <s v="na"/>
    <s v="na"/>
  </r>
  <r>
    <m/>
    <x v="2"/>
    <s v="Unicellular eukaryotes"/>
    <s v="Dinoflagellates"/>
    <s v="Ceratium macroceros"/>
    <m/>
    <m/>
    <n v="5.9156163417547324E-3"/>
    <n v="46773.514128719893"/>
    <n v="4.6773514128719891E-2"/>
    <n v="4.6773514128719891E-5"/>
    <m/>
    <m/>
    <m/>
    <m/>
    <m/>
    <m/>
    <m/>
    <n v="5.9156163417547323E-9"/>
    <s v="Barton et al. 2013"/>
    <s v="na"/>
    <s v="na"/>
    <s v="na"/>
  </r>
  <r>
    <m/>
    <x v="2"/>
    <s v="Unicellular eukaryotes"/>
    <s v="Dinoflagellates"/>
    <s v="Ceratium fusus"/>
    <m/>
    <m/>
    <n v="5.9292532457999939E-3"/>
    <n v="50118.723362727294"/>
    <n v="5.0118723362727297E-2"/>
    <n v="5.0118723362727299E-5"/>
    <m/>
    <m/>
    <m/>
    <m/>
    <m/>
    <m/>
    <m/>
    <n v="5.9292532457999939E-9"/>
    <s v="Barton et al. 2013"/>
    <s v="na"/>
    <s v="na"/>
    <s v="na"/>
  </r>
  <r>
    <m/>
    <x v="2"/>
    <s v="Unicellular eukaryotes"/>
    <s v="Diatoms"/>
    <s v="Rhizosolenia setigera"/>
    <m/>
    <m/>
    <n v="5.9292532457999939E-3"/>
    <n v="199526.23149688813"/>
    <n v="0.19952623149688811"/>
    <n v="1.9952623149688812E-4"/>
    <m/>
    <m/>
    <m/>
    <m/>
    <m/>
    <m/>
    <m/>
    <n v="5.9292532457999939E-9"/>
    <s v="Barton et al. 2013"/>
    <s v="na"/>
    <s v="na"/>
    <s v="na"/>
  </r>
  <r>
    <m/>
    <x v="2"/>
    <s v="Unicellular eukaryotes"/>
    <s v="Dinoflagellates"/>
    <s v="Dinophysis spp."/>
    <m/>
    <m/>
    <n v="5.9429215861557224E-3"/>
    <n v="50118.723362727294"/>
    <n v="5.0118723362727297E-2"/>
    <n v="5.0118723362727299E-5"/>
    <m/>
    <m/>
    <m/>
    <m/>
    <m/>
    <m/>
    <m/>
    <n v="5.9429215861557226E-9"/>
    <s v="Barton et al. 2013"/>
    <s v="na"/>
    <s v="na"/>
    <s v="na"/>
  </r>
  <r>
    <m/>
    <x v="2"/>
    <s v="Unicellular eukaryotes"/>
    <s v="Dinoflagellates"/>
    <s v="Podolampas spp."/>
    <m/>
    <m/>
    <n v="5.9429215861557224E-3"/>
    <n v="48977.881936844686"/>
    <n v="4.8977881936844686E-2"/>
    <n v="4.8977881936844683E-5"/>
    <m/>
    <m/>
    <m/>
    <m/>
    <m/>
    <m/>
    <m/>
    <n v="5.9429215861557226E-9"/>
    <s v="Barton et al. 2013"/>
    <s v="na"/>
    <s v="na"/>
    <s v="na"/>
  </r>
  <r>
    <m/>
    <x v="2"/>
    <s v="Unicellular eukaryotes"/>
    <s v="Dinoflagellates"/>
    <s v="Ceratium furca"/>
    <m/>
    <m/>
    <n v="5.970352865838368E-3"/>
    <n v="53703.179637025423"/>
    <n v="5.3703179637025422E-2"/>
    <n v="5.3703179637025419E-5"/>
    <m/>
    <m/>
    <m/>
    <m/>
    <m/>
    <m/>
    <m/>
    <n v="5.9703528658383678E-9"/>
    <s v="Barton et al. 2013"/>
    <s v="na"/>
    <s v="na"/>
    <s v="na"/>
  </r>
  <r>
    <m/>
    <x v="2"/>
    <s v="Unicellular eukaryotes"/>
    <s v="Diatoms"/>
    <s v="Dactyliosolen antarcticus"/>
    <m/>
    <m/>
    <n v="5.9841159506031942E-3"/>
    <n v="234422.88153199267"/>
    <n v="0.23442288153199267"/>
    <n v="2.3442288153199267E-4"/>
    <m/>
    <m/>
    <m/>
    <m/>
    <m/>
    <m/>
    <m/>
    <n v="5.9841159506031939E-9"/>
    <s v="Barton et al. 2013"/>
    <s v="na"/>
    <s v="na"/>
    <s v="na"/>
  </r>
  <r>
    <m/>
    <x v="2"/>
    <s v="Unicellular eukaryotes"/>
    <s v="Dinoflagellates"/>
    <s v="Ceratium falcatiforme"/>
    <m/>
    <m/>
    <n v="5.9979107625550906E-3"/>
    <n v="53703.179637025423"/>
    <n v="5.3703179637025422E-2"/>
    <n v="5.3703179637025419E-5"/>
    <m/>
    <m/>
    <m/>
    <m/>
    <m/>
    <m/>
    <m/>
    <n v="5.9979107625550903E-9"/>
    <s v="Barton et al. 2013"/>
    <s v="na"/>
    <s v="na"/>
    <s v="na"/>
  </r>
  <r>
    <m/>
    <x v="2"/>
    <s v="Unicellular eukaryotes"/>
    <s v="Dinoflagellates"/>
    <s v="Ceratium setaceum"/>
    <m/>
    <m/>
    <n v="6.0117373748327756E-3"/>
    <n v="56234.132519034953"/>
    <n v="5.6234132519034953E-2"/>
    <n v="5.6234132519034954E-5"/>
    <m/>
    <m/>
    <m/>
    <m/>
    <m/>
    <m/>
    <m/>
    <n v="6.0117373748327753E-9"/>
    <s v="Barton et al. 2013"/>
    <s v="na"/>
    <s v="na"/>
    <s v="na"/>
  </r>
  <r>
    <m/>
    <x v="2"/>
    <s v="Unicellular eukaryotes"/>
    <s v="Diatoms"/>
    <s v="Odontella mobiliensis"/>
    <m/>
    <m/>
    <n v="6.0394862937637912E-3"/>
    <n v="316227.7660168382"/>
    <n v="0.31622776601683822"/>
    <n v="3.1622776601683821E-4"/>
    <m/>
    <m/>
    <m/>
    <m/>
    <m/>
    <m/>
    <m/>
    <n v="6.0394862937637909E-9"/>
    <s v="Barton et al. 2013"/>
    <s v="na"/>
    <s v="na"/>
    <s v="na"/>
  </r>
  <r>
    <m/>
    <x v="2"/>
    <s v="Unicellular eukaryotes"/>
    <s v="Dinoflagellates"/>
    <s v="Ceratium longipes"/>
    <m/>
    <m/>
    <n v="6.0534087475391327E-3"/>
    <n v="64565.422903465565"/>
    <n v="6.4565422903465564E-2"/>
    <n v="6.4565422903465559E-5"/>
    <m/>
    <m/>
    <m/>
    <m/>
    <m/>
    <m/>
    <m/>
    <n v="6.0534087475391328E-9"/>
    <s v="Barton et al. 2013"/>
    <s v="na"/>
    <s v="na"/>
    <s v="na"/>
  </r>
  <r>
    <m/>
    <x v="2"/>
    <s v="Unicellular eukaryotes"/>
    <s v="Dinoflagellates"/>
    <s v="Ceratocorys spp."/>
    <m/>
    <m/>
    <n v="6.0673632958850501E-3"/>
    <n v="61659.500186148245"/>
    <n v="6.1659500186148242E-2"/>
    <n v="6.1659500186148238E-5"/>
    <m/>
    <m/>
    <m/>
    <m/>
    <m/>
    <m/>
    <m/>
    <n v="6.0673632958850501E-9"/>
    <s v="Barton et al. 2013"/>
    <s v="na"/>
    <s v="na"/>
    <s v="na"/>
  </r>
  <r>
    <m/>
    <x v="2"/>
    <s v="Unicellular eukaryotes"/>
    <s v="Dinoflagellates"/>
    <s v="Ceratium azoricum"/>
    <m/>
    <m/>
    <n v="6.0813500127871734E-3"/>
    <n v="63095.734448019342"/>
    <n v="6.3095734448019344E-2"/>
    <n v="6.3095734448019347E-5"/>
    <m/>
    <m/>
    <m/>
    <m/>
    <m/>
    <m/>
    <m/>
    <n v="6.0813500127871732E-9"/>
    <s v="Barton et al. 2013"/>
    <s v="na"/>
    <s v="na"/>
    <s v="na"/>
  </r>
  <r>
    <m/>
    <x v="2"/>
    <s v="Unicellular eukaryotes"/>
    <s v="Dinoflagellates"/>
    <s v="Ceratium arcticum"/>
    <m/>
    <m/>
    <n v="6.180164001384156E-3"/>
    <n v="74131.024130091857"/>
    <n v="7.4131024130091858E-2"/>
    <n v="7.4131024130091858E-5"/>
    <m/>
    <m/>
    <m/>
    <m/>
    <m/>
    <m/>
    <m/>
    <n v="6.180164001384156E-9"/>
    <s v="Barton et al. 2013"/>
    <s v="na"/>
    <s v="na"/>
    <s v="na"/>
  </r>
  <r>
    <m/>
    <x v="2"/>
    <s v="Unicellular eukaryotes"/>
    <s v="Dinoflagellates"/>
    <s v="Ceratium candelabrum"/>
    <m/>
    <m/>
    <n v="6.1944107507678169E-3"/>
    <n v="77624.711662869129"/>
    <n v="7.7624711662869134E-2"/>
    <n v="7.7624711662869139E-5"/>
    <m/>
    <m/>
    <m/>
    <m/>
    <m/>
    <m/>
    <m/>
    <n v="6.1944107507678165E-9"/>
    <s v="Barton et al. 2013"/>
    <s v="na"/>
    <s v="na"/>
    <s v="na"/>
  </r>
  <r>
    <m/>
    <x v="2"/>
    <s v="Unicellular eukaryotes"/>
    <s v="Diatoms"/>
    <s v="Rhizosolenia calcaravis"/>
    <m/>
    <m/>
    <n v="6.208690342300636E-3"/>
    <n v="331131.12148259126"/>
    <n v="0.33113112148259127"/>
    <n v="3.3113112148259126E-4"/>
    <m/>
    <m/>
    <m/>
    <m/>
    <m/>
    <m/>
    <m/>
    <n v="6.208690342300636E-9"/>
    <s v="Barton et al. 2013"/>
    <s v="na"/>
    <s v="na"/>
    <s v="na"/>
  </r>
  <r>
    <m/>
    <x v="2"/>
    <s v="Unicellular eukaryotes"/>
    <s v="Dinoflagellates"/>
    <s v="Protoperidinium spp."/>
    <m/>
    <m/>
    <n v="6.223002851691594E-3"/>
    <n v="81283.051616410012"/>
    <n v="8.1283051616410015E-2"/>
    <n v="8.1283051616410013E-5"/>
    <m/>
    <m/>
    <m/>
    <m/>
    <m/>
    <m/>
    <m/>
    <n v="6.2230028516915941E-9"/>
    <s v="Barton et al. 2013"/>
    <s v="na"/>
    <s v="na"/>
    <s v="na"/>
  </r>
  <r>
    <m/>
    <x v="2"/>
    <s v="Unicellular eukaryotes"/>
    <s v="Diatoms"/>
    <s v="Biddulphia rhombus"/>
    <m/>
    <m/>
    <n v="6.2373483548241902E-3"/>
    <n v="489778.81936844741"/>
    <n v="0.48977881936844742"/>
    <n v="4.897788193684474E-4"/>
    <m/>
    <m/>
    <m/>
    <m/>
    <m/>
    <m/>
    <m/>
    <n v="6.2373483548241902E-9"/>
    <s v="Barton et al. 2013"/>
    <s v="na"/>
    <s v="na"/>
    <s v="na"/>
  </r>
  <r>
    <m/>
    <x v="2"/>
    <s v="Unicellular eukaryotes"/>
    <s v="Dinoflagellates"/>
    <s v="Pyrophacus spp."/>
    <m/>
    <m/>
    <n v="6.2805835881331743E-3"/>
    <n v="91201.083935591028"/>
    <n v="9.1201083935591024E-2"/>
    <n v="9.1201083935591018E-5"/>
    <m/>
    <m/>
    <m/>
    <m/>
    <m/>
    <m/>
    <m/>
    <n v="6.280583588133174E-9"/>
    <s v="Barton et al. 2013"/>
    <s v="na"/>
    <s v="na"/>
    <s v="na"/>
  </r>
  <r>
    <m/>
    <x v="2"/>
    <s v="Unicellular eukaryotes"/>
    <s v="Dinoflagellates"/>
    <s v="Ceratium pulchellum"/>
    <m/>
    <m/>
    <n v="6.2805835881331743E-3"/>
    <n v="89125.093813374609"/>
    <n v="8.9125093813374606E-2"/>
    <n v="8.9125093813374601E-5"/>
    <m/>
    <m/>
    <m/>
    <m/>
    <m/>
    <m/>
    <m/>
    <n v="6.280583588133174E-9"/>
    <s v="Barton et al. 2013"/>
    <s v="na"/>
    <s v="na"/>
    <s v="na"/>
  </r>
  <r>
    <m/>
    <x v="2"/>
    <s v="Unicellular eukaryotes"/>
    <s v="Dinoflagellates"/>
    <s v="Ceratium praelongum"/>
    <m/>
    <m/>
    <n v="6.2950618285719691E-3"/>
    <n v="89125.093813374609"/>
    <n v="8.9125093813374606E-2"/>
    <n v="8.9125093813374601E-5"/>
    <m/>
    <m/>
    <m/>
    <m/>
    <m/>
    <m/>
    <m/>
    <n v="6.2950618285719691E-9"/>
    <s v="Barton et al. 2013"/>
    <s v="na"/>
    <s v="na"/>
    <s v="na"/>
  </r>
  <r>
    <m/>
    <x v="2"/>
    <s v="Unicellular eukaryotes"/>
    <s v="Diatoms"/>
    <s v="Rhizosolenia bergonii"/>
    <m/>
    <m/>
    <n v="6.3679552090791514E-3"/>
    <n v="467735.14128719864"/>
    <n v="0.46773514128719862"/>
    <n v="4.6773514128719862E-4"/>
    <m/>
    <m/>
    <m/>
    <m/>
    <m/>
    <m/>
    <m/>
    <n v="6.3679552090791511E-9"/>
    <s v="Barton et al. 2013"/>
    <s v="na"/>
    <s v="na"/>
    <s v="na"/>
  </r>
  <r>
    <m/>
    <x v="2"/>
    <s v="Unicellular eukaryotes"/>
    <s v="Dinoflagellates"/>
    <s v="Ceratium tripos"/>
    <m/>
    <m/>
    <n v="6.3973483548264778E-3"/>
    <n v="112201.84543019651"/>
    <n v="0.11220184543019651"/>
    <n v="1.1220184543019652E-4"/>
    <m/>
    <m/>
    <m/>
    <m/>
    <m/>
    <m/>
    <m/>
    <n v="6.3973483548264776E-9"/>
    <s v="Barton et al. 2013"/>
    <s v="na"/>
    <s v="na"/>
    <s v="na"/>
  </r>
  <r>
    <m/>
    <x v="2"/>
    <s v="Unicellular eukaryotes"/>
    <s v="Dinoflagellates"/>
    <s v="Ceratium arietinum"/>
    <m/>
    <m/>
    <n v="6.3973483548264778E-3"/>
    <n v="109647.81961431868"/>
    <n v="0.10964781961431867"/>
    <n v="1.0964781961431868E-4"/>
    <m/>
    <m/>
    <m/>
    <m/>
    <m/>
    <m/>
    <m/>
    <n v="6.3973483548264776E-9"/>
    <s v="Barton et al. 2013"/>
    <s v="na"/>
    <s v="na"/>
    <s v="na"/>
  </r>
  <r>
    <m/>
    <x v="2"/>
    <s v="Unicellular eukaryotes"/>
    <s v="Dinoflagellates"/>
    <s v="Ceratium bucephalum"/>
    <m/>
    <m/>
    <n v="6.3973483548264778E-3"/>
    <n v="109647.81961431868"/>
    <n v="0.10964781961431867"/>
    <n v="1.0964781961431868E-4"/>
    <m/>
    <m/>
    <m/>
    <m/>
    <m/>
    <m/>
    <m/>
    <n v="6.3973483548264776E-9"/>
    <s v="Barton et al. 2013"/>
    <s v="na"/>
    <s v="na"/>
    <s v="na"/>
  </r>
  <r>
    <m/>
    <x v="2"/>
    <s v="Unicellular eukaryotes"/>
    <s v="Diatoms"/>
    <s v="Biddulphia regia"/>
    <m/>
    <m/>
    <n v="6.3973483548264778E-3"/>
    <n v="407380.27780411334"/>
    <n v="0.40738027780411334"/>
    <n v="4.0738027780411336E-4"/>
    <m/>
    <m/>
    <m/>
    <m/>
    <m/>
    <m/>
    <m/>
    <n v="6.3973483548264776E-9"/>
    <s v="Barton et al. 2013"/>
    <s v="na"/>
    <s v="na"/>
    <s v="na"/>
  </r>
  <r>
    <m/>
    <x v="2"/>
    <s v="Unicellular eukaryotes"/>
    <s v="Dinoflagellates"/>
    <s v="Ceratium belone"/>
    <m/>
    <m/>
    <n v="6.426877173170191E-3"/>
    <n v="117489.75549395311"/>
    <n v="0.11748975549395312"/>
    <n v="1.1748975549395311E-4"/>
    <m/>
    <m/>
    <m/>
    <m/>
    <m/>
    <m/>
    <m/>
    <n v="6.4268771731701908E-9"/>
    <s v="Barton et al. 2013"/>
    <s v="na"/>
    <s v="na"/>
    <s v="na"/>
  </r>
  <r>
    <m/>
    <x v="2"/>
    <s v="Unicellular eukaryotes"/>
    <s v="Dinoflagellates"/>
    <s v="Ceratium pentagonum"/>
    <m/>
    <m/>
    <n v="6.426877173170191E-3"/>
    <n v="114815.36214968823"/>
    <n v="0.11481536214968822"/>
    <n v="1.1481536214968823E-4"/>
    <m/>
    <m/>
    <m/>
    <m/>
    <m/>
    <m/>
    <m/>
    <n v="6.4268771731701908E-9"/>
    <s v="Barton et al. 2013"/>
    <s v="na"/>
    <s v="na"/>
    <s v="na"/>
  </r>
  <r>
    <m/>
    <x v="2"/>
    <s v="Unicellular eukaryotes"/>
    <s v="Dinoflagellates"/>
    <s v="Ceratium falcatum"/>
    <m/>
    <m/>
    <n v="6.441692655151772E-3"/>
    <n v="117489.75549395311"/>
    <n v="0.11748975549395312"/>
    <n v="1.1748975549395311E-4"/>
    <m/>
    <m/>
    <m/>
    <m/>
    <m/>
    <m/>
    <m/>
    <n v="6.4416926551517722E-9"/>
    <s v="Barton et al. 2013"/>
    <s v="na"/>
    <s v="na"/>
    <s v="na"/>
  </r>
  <r>
    <m/>
    <x v="2"/>
    <s v="Unicellular eukaryotes"/>
    <s v="Dinoflagellates"/>
    <s v="Ceratium extensum"/>
    <m/>
    <m/>
    <n v="6.441692655151772E-3"/>
    <n v="251188.64315095844"/>
    <n v="0.25118864315095846"/>
    <n v="2.5118864315095844E-4"/>
    <m/>
    <m/>
    <m/>
    <m/>
    <m/>
    <m/>
    <m/>
    <n v="6.4416926551517722E-9"/>
    <s v="Barton et al. 2013"/>
    <s v="na"/>
    <s v="na"/>
    <s v="na"/>
  </r>
  <r>
    <m/>
    <x v="2"/>
    <s v="Unicellular eukaryotes"/>
    <s v="Dinoflagellates"/>
    <s v="Ceratium vultur"/>
    <m/>
    <m/>
    <n v="6.441692655151772E-3"/>
    <n v="117489.75549395311"/>
    <n v="0.11748975549395312"/>
    <n v="1.1748975549395311E-4"/>
    <m/>
    <m/>
    <m/>
    <m/>
    <m/>
    <m/>
    <m/>
    <n v="6.4416926551517722E-9"/>
    <s v="Barton et al. 2013"/>
    <s v="na"/>
    <s v="na"/>
    <s v="na"/>
  </r>
  <r>
    <m/>
    <x v="2"/>
    <s v="Unicellular eukaryotes"/>
    <s v="Diatoms"/>
    <s v="Rhizosolenia styliformis"/>
    <m/>
    <m/>
    <n v="6.441692655151772E-3"/>
    <n v="501187.23362727347"/>
    <n v="0.50118723362727347"/>
    <n v="5.011872336272735E-4"/>
    <m/>
    <m/>
    <m/>
    <m/>
    <m/>
    <m/>
    <m/>
    <n v="6.4416926551517722E-9"/>
    <s v="Barton et al. 2013"/>
    <s v="na"/>
    <s v="na"/>
    <s v="na"/>
  </r>
  <r>
    <m/>
    <x v="2"/>
    <s v="Unicellular eukaryotes"/>
    <s v="Dinoflagellates"/>
    <s v="Ceratium horridum"/>
    <m/>
    <m/>
    <n v="6.5162839406084257E-3"/>
    <n v="144543.97707459307"/>
    <n v="0.14454397707459307"/>
    <n v="1.4454397707459307E-4"/>
    <m/>
    <m/>
    <m/>
    <m/>
    <m/>
    <m/>
    <m/>
    <n v="6.516283940608426E-9"/>
    <s v="Barton et al. 2013"/>
    <s v="na"/>
    <s v="na"/>
    <s v="na"/>
  </r>
  <r>
    <m/>
    <x v="2"/>
    <s v="Unicellular eukaryotes"/>
    <s v="Dinoflagellates"/>
    <s v="Ceratium massiliense"/>
    <m/>
    <m/>
    <n v="6.5917389524432117E-3"/>
    <n v="151356.12484362084"/>
    <n v="0.15135612484362085"/>
    <n v="1.5135612484362085E-4"/>
    <m/>
    <m/>
    <m/>
    <m/>
    <m/>
    <m/>
    <m/>
    <n v="6.5917389524432118E-9"/>
    <s v="Barton et al. 2013"/>
    <s v="na"/>
    <s v="na"/>
    <s v="na"/>
  </r>
  <r>
    <m/>
    <x v="2"/>
    <s v="Unicellular eukaryotes"/>
    <s v="Dinoflagellates"/>
    <s v="Ceratium petersii"/>
    <m/>
    <m/>
    <n v="6.6069344800759565E-3"/>
    <n v="151356.12484362084"/>
    <n v="0.15135612484362085"/>
    <n v="1.5135612484362085E-4"/>
    <m/>
    <m/>
    <m/>
    <m/>
    <m/>
    <m/>
    <m/>
    <n v="6.6069344800759568E-9"/>
    <s v="Barton et al. 2013"/>
    <s v="na"/>
    <s v="na"/>
    <s v="na"/>
  </r>
  <r>
    <m/>
    <x v="2"/>
    <s v="Unicellular eukaryotes"/>
    <s v="Dinoflagellates"/>
    <s v="Ceratium carriense"/>
    <m/>
    <m/>
    <n v="6.7452802769792106E-3"/>
    <n v="194984.45997580473"/>
    <n v="0.19498445997580471"/>
    <n v="1.9498445997580472E-4"/>
    <m/>
    <m/>
    <m/>
    <m/>
    <m/>
    <m/>
    <m/>
    <n v="6.7452802769792105E-9"/>
    <s v="Barton et al. 2013"/>
    <s v="na"/>
    <s v="na"/>
    <s v="na"/>
  </r>
  <r>
    <m/>
    <x v="2"/>
    <s v="Unicellular eukaryotes"/>
    <s v="Diatoms"/>
    <s v="Biddulphias inensis"/>
    <m/>
    <m/>
    <n v="6.7764150761067459E-3"/>
    <n v="1122018.4543019643"/>
    <n v="1.1220184543019642"/>
    <n v="1.1220184543019643E-3"/>
    <m/>
    <m/>
    <m/>
    <m/>
    <m/>
    <m/>
    <m/>
    <n v="6.7764150761067463E-9"/>
    <s v="Barton et al. 2013"/>
    <s v="na"/>
    <s v="na"/>
    <s v="na"/>
  </r>
  <r>
    <m/>
    <x v="2"/>
    <s v="Unicellular eukaryotes"/>
    <s v="Dinoflagellates"/>
    <s v="Ceratium compressum"/>
    <m/>
    <m/>
    <n v="6.9023980384024155E-3"/>
    <n v="245470.89156850305"/>
    <n v="0.24547089156850305"/>
    <n v="2.4547089156850307E-4"/>
    <m/>
    <m/>
    <m/>
    <m/>
    <m/>
    <m/>
    <m/>
    <n v="6.9023980384024156E-9"/>
    <s v="Barton et al. 2013"/>
    <s v="na"/>
    <s v="na"/>
    <s v="na"/>
  </r>
  <r>
    <m/>
    <x v="2"/>
    <s v="Unicellular eukaryotes"/>
    <s v="Dinoflagellates"/>
    <s v="Ceratium lamellicorne"/>
    <m/>
    <m/>
    <n v="6.9023980384024155E-3"/>
    <n v="245470.89156850305"/>
    <n v="0.24547089156850305"/>
    <n v="2.4547089156850307E-4"/>
    <m/>
    <m/>
    <m/>
    <m/>
    <m/>
    <m/>
    <m/>
    <n v="6.9023980384024156E-9"/>
    <s v="Barton et al. 2013"/>
    <s v="na"/>
    <s v="na"/>
    <s v="na"/>
  </r>
  <r>
    <m/>
    <x v="2"/>
    <s v="Unicellular eukaryotes"/>
    <s v="Dinoflagellates"/>
    <s v="Ceratium platycorne"/>
    <m/>
    <m/>
    <n v="6.9023980384024155E-3"/>
    <n v="245470.89156850305"/>
    <n v="0.24547089156850305"/>
    <n v="2.4547089156850307E-4"/>
    <m/>
    <m/>
    <m/>
    <m/>
    <m/>
    <m/>
    <m/>
    <n v="6.9023980384024156E-9"/>
    <s v="Barton et al. 2013"/>
    <s v="na"/>
    <s v="na"/>
    <s v="na"/>
  </r>
  <r>
    <m/>
    <x v="2"/>
    <s v="Unicellular eukaryotes"/>
    <s v="Dinoflagellates"/>
    <s v="Ceratium karstenii"/>
    <m/>
    <m/>
    <n v="7.0145529841997125E-3"/>
    <n v="288403.1503126609"/>
    <n v="0.28840315031266089"/>
    <n v="2.8840315031266087E-4"/>
    <m/>
    <m/>
    <m/>
    <m/>
    <m/>
    <m/>
    <m/>
    <n v="7.0145529841997122E-9"/>
    <s v="Barton et al. 2013"/>
    <s v="na"/>
    <s v="na"/>
    <s v="na"/>
  </r>
  <r>
    <m/>
    <x v="2"/>
    <s v="Unicellular eukaryotes"/>
    <s v="Dinoflagellates"/>
    <s v="Ceratium gibberum"/>
    <m/>
    <m/>
    <n v="7.0631755426296162E-3"/>
    <n v="316227.7660168382"/>
    <n v="0.31622776601683822"/>
    <n v="3.1622776601683821E-4"/>
    <m/>
    <m/>
    <m/>
    <m/>
    <m/>
    <m/>
    <m/>
    <n v="7.0631755426296163E-9"/>
    <s v="Barton et al. 2013"/>
    <s v="na"/>
    <s v="na"/>
    <s v="na"/>
  </r>
  <r>
    <m/>
    <x v="2"/>
    <s v="Unicellular eukaryotes"/>
    <s v="Dinoflagellates"/>
    <s v="Amphisolenia spp."/>
    <m/>
    <m/>
    <n v="7.2610595743515388E-3"/>
    <n v="426579.51880159322"/>
    <n v="0.42657951880159323"/>
    <n v="4.2657951880159322E-4"/>
    <m/>
    <m/>
    <m/>
    <m/>
    <m/>
    <m/>
    <m/>
    <n v="7.2610595743515392E-9"/>
    <s v="Barton et al. 2013"/>
    <s v="na"/>
    <s v="na"/>
    <s v="na"/>
  </r>
  <r>
    <m/>
    <x v="2"/>
    <s v="Unicellular eukaryotes"/>
    <s v="Dinoflagellates"/>
    <s v="Ceratium hexacanthum"/>
    <m/>
    <m/>
    <n v="7.3282453313890349E-3"/>
    <n v="467735.14128719864"/>
    <n v="0.46773514128719862"/>
    <n v="4.6773514128719862E-4"/>
    <m/>
    <m/>
    <m/>
    <m/>
    <m/>
    <m/>
    <m/>
    <n v="7.3282453313890351E-9"/>
    <s v="Barton et al. 2013"/>
    <s v="na"/>
    <s v="na"/>
    <s v="na"/>
  </r>
  <r>
    <m/>
    <x v="2"/>
    <s v="Unicellular eukaryotes"/>
    <s v="Diatoms"/>
    <s v="Coscinodiscus concinnus"/>
    <m/>
    <m/>
    <n v="7.7983011052325888E-3"/>
    <n v="4677351.4128719913"/>
    <n v="4.6773514128719915"/>
    <n v="4.6773514128719915E-3"/>
    <m/>
    <m/>
    <m/>
    <m/>
    <m/>
    <m/>
    <m/>
    <n v="7.7983011052325888E-9"/>
    <s v="Barton et al. 2013"/>
    <s v="na"/>
    <s v="na"/>
    <s v="na"/>
  </r>
  <r>
    <m/>
    <x v="2"/>
    <s v="Unicellular eukaryotes"/>
    <s v="Diatoms"/>
    <s v="Rhizosolenia acuminata"/>
    <m/>
    <m/>
    <n v="8.0909589917838153E-3"/>
    <n v="8511380.382023776"/>
    <n v="8.5113803820237752"/>
    <n v="8.5113803820237744E-3"/>
    <m/>
    <m/>
    <m/>
    <m/>
    <m/>
    <m/>
    <m/>
    <n v="8.0909589917838148E-9"/>
    <s v="Barton et al. 2013"/>
    <s v="na"/>
    <s v="na"/>
    <s v="na"/>
  </r>
  <r>
    <m/>
    <x v="2"/>
    <s v="Unicellular eukaryotes"/>
    <s v="Diatoms"/>
    <s v="Coscinodiscus spp."/>
    <m/>
    <m/>
    <n v="8.3945998651939711E-3"/>
    <n v="12302687.708123812"/>
    <n v="12.302687708123813"/>
    <n v="1.2302687708123813E-2"/>
    <m/>
    <m/>
    <m/>
    <m/>
    <m/>
    <m/>
    <m/>
    <n v="8.3945998651939719E-9"/>
    <s v="Barton et al. 2013"/>
    <s v="na"/>
    <s v="na"/>
    <s v="na"/>
  </r>
  <r>
    <m/>
    <x v="2"/>
    <s v="Unicellular eukaryotes"/>
    <s v="Unicellular eukaryotes - autotroph"/>
    <s v="Gonyaulacal"/>
    <m/>
    <m/>
    <m/>
    <m/>
    <m/>
    <m/>
    <m/>
    <m/>
    <m/>
    <m/>
    <m/>
    <m/>
    <m/>
    <n v="1E-8"/>
    <s v="Linacre et al. 2021"/>
    <s v="10,000 pg C cell-1"/>
    <s v="na"/>
    <s v="na"/>
  </r>
  <r>
    <m/>
    <x v="2"/>
    <s v="Unicellular eukaryotes"/>
    <s v="Coccolithophore"/>
    <s v="E. huxleyi"/>
    <n v="4.5"/>
    <m/>
    <m/>
    <m/>
    <m/>
    <m/>
    <m/>
    <m/>
    <m/>
    <m/>
    <m/>
    <m/>
    <n v="4.5000000000000001E-6"/>
    <n v="1.31E-8"/>
    <s v="Toullec et al. 2022"/>
    <s v="na"/>
    <n v="13.1"/>
    <s v="na"/>
  </r>
  <r>
    <m/>
    <x v="2"/>
    <s v="Unicellular eukaryotes"/>
    <s v="Unicellular eukaryotes - heterotroph"/>
    <s v="Favella sp."/>
    <m/>
    <m/>
    <m/>
    <m/>
    <m/>
    <m/>
    <m/>
    <m/>
    <m/>
    <m/>
    <m/>
    <m/>
    <m/>
    <n v="1.9192999999999999E-8"/>
    <s v="Verity &amp; Langdon 1984"/>
    <m/>
    <n v="19193"/>
    <s v="na"/>
  </r>
  <r>
    <m/>
    <x v="2"/>
    <s v="Unicellular eukaryotes"/>
    <s v="Coccolithophore"/>
    <s v="Tisochrysis sp."/>
    <n v="6.1"/>
    <m/>
    <m/>
    <m/>
    <m/>
    <m/>
    <m/>
    <m/>
    <m/>
    <m/>
    <m/>
    <m/>
    <n v="6.0999999999999992E-6"/>
    <n v="2.14E-8"/>
    <s v="Toullec et al. 2022"/>
    <s v="na"/>
    <n v="21.4"/>
    <s v="na"/>
  </r>
  <r>
    <m/>
    <x v="2"/>
    <s v="Unicellular eukaryotes"/>
    <s v="Coccolithophore"/>
    <s v="E. huxleyi"/>
    <n v="5.13"/>
    <m/>
    <m/>
    <m/>
    <m/>
    <m/>
    <m/>
    <m/>
    <m/>
    <m/>
    <m/>
    <m/>
    <n v="5.13E-6"/>
    <n v="2.2600000000000001E-8"/>
    <s v="Toullec et al. 2022"/>
    <s v="na"/>
    <n v="22.6"/>
    <s v="na"/>
  </r>
  <r>
    <m/>
    <x v="2"/>
    <s v="Unicellular eukaryotes"/>
    <s v="Coccolithophore"/>
    <s v="G. oceanica"/>
    <n v="6.3"/>
    <m/>
    <m/>
    <m/>
    <m/>
    <m/>
    <m/>
    <m/>
    <m/>
    <m/>
    <m/>
    <m/>
    <n v="6.2999999999999998E-6"/>
    <n v="2.8199999999999998E-8"/>
    <s v="Toullec et al. 2022"/>
    <s v="na"/>
    <n v="28.2"/>
    <s v="na"/>
  </r>
  <r>
    <m/>
    <x v="2"/>
    <s v="Unicellular eukaryotes"/>
    <s v="Diatoms"/>
    <s v="marine diatoms large"/>
    <m/>
    <m/>
    <n v="0.03"/>
    <n v="280000"/>
    <n v="0.28000000000000003"/>
    <n v="2.8000000000000003E-4"/>
    <m/>
    <m/>
    <m/>
    <m/>
    <m/>
    <m/>
    <m/>
    <n v="2.9999999999999997E-8"/>
    <s v="Menden-Deuer and Lessard 2000"/>
    <m/>
    <n v="30000"/>
    <s v="na"/>
  </r>
  <r>
    <m/>
    <x v="2"/>
    <s v="Unicellular eukaryotes"/>
    <s v="Rhizaria protists"/>
    <s v="Collosphaeridae small"/>
    <m/>
    <m/>
    <m/>
    <m/>
    <m/>
    <m/>
    <m/>
    <m/>
    <m/>
    <m/>
    <m/>
    <m/>
    <m/>
    <n v="3.2729999999999996E-8"/>
    <s v="Mansour et al. 2021"/>
    <s v="Collosphaeridae cells ranged from 32.73 to251.49 ng C cell−1"/>
    <n v="32.729999999999997"/>
    <s v="na"/>
  </r>
  <r>
    <m/>
    <x v="2"/>
    <s v="Unicellular eukaryotes"/>
    <s v="Coccolithophore"/>
    <s v="G. oceanica + Tisochrysis sp."/>
    <n v="6.3"/>
    <m/>
    <m/>
    <m/>
    <m/>
    <m/>
    <m/>
    <m/>
    <m/>
    <m/>
    <m/>
    <m/>
    <n v="6.2999999999999998E-6"/>
    <n v="4.2799999999999999E-8"/>
    <s v="Toullec et al. 2022"/>
    <s v="na"/>
    <n v="42.8"/>
    <s v="na"/>
  </r>
  <r>
    <m/>
    <x v="2"/>
    <s v="Unicellular eukaryotes"/>
    <s v="Coccolithophore"/>
    <s v="G. oceanica"/>
    <n v="6.7"/>
    <m/>
    <m/>
    <m/>
    <m/>
    <m/>
    <m/>
    <m/>
    <m/>
    <m/>
    <m/>
    <m/>
    <n v="6.7000000000000002E-6"/>
    <n v="6.3700000000000008E-8"/>
    <s v="Toullec et al. 2022"/>
    <s v="na"/>
    <n v="63.7"/>
    <s v="na"/>
  </r>
  <r>
    <m/>
    <x v="2"/>
    <s v="Unicellular eukaryotes"/>
    <s v="Rhizaria protists"/>
    <s v="Collosphaeridae large"/>
    <m/>
    <m/>
    <m/>
    <m/>
    <m/>
    <m/>
    <m/>
    <m/>
    <m/>
    <m/>
    <m/>
    <m/>
    <m/>
    <n v="2.5148999999999998E-7"/>
    <s v="Mansour et al. 2021"/>
    <s v="Collosphaeridae cells ranged from 32.73 to251.49 ng C cell−1"/>
    <n v="251.49"/>
    <s v="na"/>
  </r>
  <r>
    <m/>
    <x v="2"/>
    <s v="Unicellular eukaryotes"/>
    <s v="Coccolithophore"/>
    <s v="C. braarudii"/>
    <n v="17"/>
    <m/>
    <m/>
    <m/>
    <m/>
    <m/>
    <m/>
    <m/>
    <m/>
    <m/>
    <m/>
    <m/>
    <n v="1.7E-5"/>
    <n v="2.9299999999999999E-7"/>
    <s v="Toullec et al. 2022"/>
    <s v="na"/>
    <n v="293"/>
    <s v="na"/>
  </r>
  <r>
    <m/>
    <x v="2"/>
    <s v="Unicellular eukaryotes"/>
    <s v="largest protist"/>
    <s v="na"/>
    <m/>
    <m/>
    <n v="1.0316799727931414"/>
    <m/>
    <m/>
    <m/>
    <m/>
    <m/>
    <m/>
    <m/>
    <m/>
    <m/>
    <m/>
    <n v="1.0316799727931413E-6"/>
    <s v="Finlay 2002"/>
    <s v="log100.5 microg log10 unit not given but must be carbon?"/>
    <s v="na"/>
    <s v="na"/>
  </r>
  <r>
    <m/>
    <x v="2"/>
    <s v="Unicellular eukaryotes"/>
    <s v="Ciliates"/>
    <s v="Spirostomum sp."/>
    <n v="3310"/>
    <m/>
    <n v="1.8801286659413292"/>
    <n v="13429490.471009493"/>
    <n v="13.429490471009492"/>
    <n v="1.3429490471009492E-2"/>
    <m/>
    <m/>
    <m/>
    <m/>
    <m/>
    <m/>
    <n v="3.31E-3"/>
    <n v="1.8801286659413292E-6"/>
    <s v="unpublished data used in Reiss &amp; Schmid-Araya 2010"/>
    <m/>
    <s v="na"/>
    <s v="na"/>
  </r>
  <r>
    <m/>
    <x v="2"/>
    <s v="Unicellular eukaryotes"/>
    <s v="Unicellular eukaryotes - phototroph"/>
    <s v="Ostreococcus tauri "/>
    <n v="1.06"/>
    <n v="1.06E-3"/>
    <m/>
    <m/>
    <m/>
    <m/>
    <m/>
    <m/>
    <m/>
    <m/>
    <m/>
    <m/>
    <n v="1.06E-6"/>
    <m/>
    <s v="Andersen et al. 2016"/>
    <s v="cm"/>
    <s v="na"/>
    <s v="na"/>
  </r>
  <r>
    <m/>
    <x v="2"/>
    <s v="Unicellular eukaryotes"/>
    <s v="Unicellular eukaryotes - mixotroph"/>
    <s v="Picophytoplankton"/>
    <n v="1.4999999999999998"/>
    <n v="1.4999999999999998E-3"/>
    <m/>
    <m/>
    <m/>
    <m/>
    <m/>
    <m/>
    <m/>
    <m/>
    <m/>
    <m/>
    <n v="1.4999999999999996E-6"/>
    <m/>
    <s v="Andersen et al. 2016"/>
    <s v="cm"/>
    <s v="na"/>
    <s v="na"/>
  </r>
  <r>
    <m/>
    <x v="2"/>
    <s v="Unicellular eukaryotes"/>
    <s v="Unicellular eukaryotes - phototroph"/>
    <s v="smallest phototrophic protists"/>
    <n v="2"/>
    <m/>
    <m/>
    <m/>
    <m/>
    <m/>
    <m/>
    <m/>
    <m/>
    <m/>
    <m/>
    <m/>
    <n v="1.9999999999999999E-6"/>
    <m/>
    <s v="Hartmann et al. 2011"/>
    <s v="under 2 microm"/>
    <s v="na"/>
    <s v="na"/>
  </r>
  <r>
    <m/>
    <x v="2"/>
    <s v="Fungi_Unicellular eukaryotes"/>
    <s v="Fungi"/>
    <s v="yeasts"/>
    <n v="3"/>
    <m/>
    <m/>
    <m/>
    <m/>
    <m/>
    <m/>
    <m/>
    <m/>
    <m/>
    <m/>
    <m/>
    <n v="3.0000000000000001E-6"/>
    <m/>
    <s v="Kowalska et al. 2022"/>
    <m/>
    <s v="na"/>
    <s v="na"/>
  </r>
  <r>
    <m/>
    <x v="2"/>
    <s v="Unicellular eukaryotes"/>
    <s v="Unicellular eukaryotes - heterotroph"/>
    <s v="Pyxidicula operculata"/>
    <n v="9"/>
    <m/>
    <m/>
    <m/>
    <m/>
    <m/>
    <m/>
    <m/>
    <m/>
    <m/>
    <m/>
    <m/>
    <n v="9.0000000000000002E-6"/>
    <m/>
    <s v="Su et al. 2024"/>
    <m/>
    <s v="na"/>
    <s v="na"/>
  </r>
  <r>
    <m/>
    <x v="2"/>
    <s v="Fungi_Unicellular eukaryotes"/>
    <s v="Fungi"/>
    <s v="yeasts"/>
    <n v="10"/>
    <m/>
    <m/>
    <m/>
    <m/>
    <m/>
    <m/>
    <m/>
    <m/>
    <m/>
    <m/>
    <m/>
    <n v="9.9999999999999991E-6"/>
    <m/>
    <s v="Kowalska et al. 2022"/>
    <m/>
    <s v="na"/>
    <s v="na"/>
  </r>
  <r>
    <m/>
    <x v="2"/>
    <s v="Fungi_Unicellular eukaryotes"/>
    <s v="Fungi"/>
    <s v="Rhizophydiales (Chytridiomycota) isolates; sporangium"/>
    <n v="15"/>
    <m/>
    <m/>
    <m/>
    <m/>
    <m/>
    <m/>
    <m/>
    <m/>
    <m/>
    <m/>
    <m/>
    <n v="1.4999999999999999E-5"/>
    <m/>
    <s v="Letcher et al. 2008"/>
    <m/>
    <s v="na"/>
    <s v="na"/>
  </r>
  <r>
    <m/>
    <x v="2"/>
    <s v="Unicellular eukaryotes"/>
    <s v="Unicellular eukaryotes - heterotroph"/>
    <s v="heterotrophic nanoflagellates"/>
    <n v="15"/>
    <m/>
    <m/>
    <m/>
    <m/>
    <m/>
    <m/>
    <m/>
    <m/>
    <m/>
    <m/>
    <m/>
    <n v="1.5E-5"/>
    <m/>
    <s v="Boenigk and Arndt 2002"/>
    <s v="15microm"/>
    <s v="na"/>
    <s v="na"/>
  </r>
  <r>
    <m/>
    <x v="2"/>
    <s v="Unicellular eukaryotes"/>
    <s v="Freshwater diatom"/>
    <s v="A. ambigua f. japonica"/>
    <n v="20"/>
    <m/>
    <m/>
    <m/>
    <m/>
    <m/>
    <m/>
    <m/>
    <m/>
    <m/>
    <m/>
    <m/>
    <n v="1.9999999999999998E-5"/>
    <m/>
    <s v="Deb et al. 2024"/>
    <s v="na"/>
    <s v="na"/>
    <s v="na"/>
  </r>
  <r>
    <m/>
    <x v="2"/>
    <s v="Fungi_Unicellular eukaryotes"/>
    <s v="Fungi"/>
    <s v="Rhizophydiales (Chytridiomycota) isolates; sporangium"/>
    <n v="25"/>
    <m/>
    <m/>
    <m/>
    <m/>
    <m/>
    <m/>
    <m/>
    <m/>
    <m/>
    <m/>
    <m/>
    <n v="2.4999999999999998E-5"/>
    <m/>
    <s v="Letcher et al. 2008"/>
    <m/>
    <s v="na"/>
    <s v="na"/>
  </r>
  <r>
    <m/>
    <x v="2"/>
    <s v="Unicellular eukaryotes"/>
    <s v="Freshwater diatom"/>
    <s v="A. granulata"/>
    <n v="30"/>
    <m/>
    <m/>
    <m/>
    <m/>
    <m/>
    <m/>
    <m/>
    <m/>
    <m/>
    <m/>
    <m/>
    <n v="2.9999999999999997E-5"/>
    <m/>
    <s v="Deb et al. 2024"/>
    <s v="na"/>
    <s v="na"/>
    <s v="na"/>
  </r>
  <r>
    <m/>
    <x v="2"/>
    <s v="Unicellular eukaryotes"/>
    <s v="Unicellular eukaryotes - mixotroph"/>
    <s v="Fragilidium cf. mexicanum"/>
    <n v="54.5"/>
    <n v="5.45E-2"/>
    <m/>
    <m/>
    <m/>
    <m/>
    <m/>
    <m/>
    <m/>
    <m/>
    <m/>
    <m/>
    <n v="5.4499999999999997E-5"/>
    <m/>
    <s v="Andersen et al. 2016"/>
    <s v="cm"/>
    <s v="na"/>
    <s v="na"/>
  </r>
  <r>
    <m/>
    <x v="2"/>
    <s v="Unicellular eukaryotes"/>
    <s v="Freshwater diatom"/>
    <s v="F. crotonensis"/>
    <n v="75"/>
    <m/>
    <m/>
    <m/>
    <m/>
    <m/>
    <m/>
    <m/>
    <m/>
    <m/>
    <m/>
    <m/>
    <n v="7.4999999999999993E-5"/>
    <m/>
    <s v="Deb et al. 2024"/>
    <s v="na"/>
    <s v="na"/>
    <s v="na"/>
  </r>
  <r>
    <m/>
    <x v="2"/>
    <s v="Unicellular eukaryotes"/>
    <s v="Unicellular eukaryotes - heterotroph"/>
    <s v="Difflugia nodosa"/>
    <n v="480"/>
    <m/>
    <m/>
    <m/>
    <m/>
    <m/>
    <m/>
    <m/>
    <m/>
    <m/>
    <m/>
    <m/>
    <n v="4.7999999999999996E-4"/>
    <m/>
    <s v="Su et al. 2024"/>
    <m/>
    <s v="na"/>
    <s v="na"/>
  </r>
  <r>
    <m/>
    <x v="2"/>
    <s v="Unicellular eukaryotes"/>
    <s v="Unicellular eukaryotes - phototroph"/>
    <s v="Neocalyptrella robusta"/>
    <n v="1008.8110000000001"/>
    <n v="1.0088110000000001"/>
    <m/>
    <m/>
    <m/>
    <m/>
    <m/>
    <m/>
    <m/>
    <m/>
    <m/>
    <m/>
    <n v="1.0088110000000001E-3"/>
    <m/>
    <s v="Andersen et al. 2016"/>
    <s v="cm"/>
    <s v="na"/>
    <s v="na"/>
  </r>
  <r>
    <m/>
    <x v="2"/>
    <s v="Unicellular eukaryotes"/>
    <s v="Ciliates"/>
    <s v="Spirostomum semivirescens "/>
    <n v="1500"/>
    <m/>
    <m/>
    <m/>
    <m/>
    <m/>
    <m/>
    <m/>
    <m/>
    <m/>
    <m/>
    <m/>
    <n v="1.5E-3"/>
    <m/>
    <s v="Esteban et al. 2009"/>
    <m/>
    <s v="na"/>
    <s v="na"/>
  </r>
  <r>
    <m/>
    <x v="2"/>
    <s v="Unicellular eukaryotes"/>
    <s v="Ciliates"/>
    <s v="Sprirostomum spp."/>
    <n v="2000"/>
    <m/>
    <m/>
    <m/>
    <m/>
    <m/>
    <m/>
    <m/>
    <m/>
    <m/>
    <m/>
    <m/>
    <n v="2E-3"/>
    <m/>
    <s v="Foissner and Berger 1996"/>
    <s v="2mm"/>
    <s v="na"/>
    <s v="na"/>
  </r>
  <r>
    <m/>
    <x v="2"/>
    <s v="Unicellular eukaryotes"/>
    <s v="Flagellates"/>
    <s v="Bodo saltans (Pleuromonas jaculans)"/>
    <m/>
    <m/>
    <m/>
    <m/>
    <m/>
    <m/>
    <m/>
    <m/>
    <m/>
    <m/>
    <m/>
    <n v="5.0000000000000002E-11"/>
    <m/>
    <m/>
    <s v="DeLong et al. 2010"/>
    <m/>
    <s v="na"/>
    <s v="na"/>
  </r>
  <r>
    <m/>
    <x v="2"/>
    <s v="Unicellular eukaryotes"/>
    <s v="Ciliates"/>
    <s v="Balanion planctonicum"/>
    <m/>
    <m/>
    <m/>
    <m/>
    <m/>
    <m/>
    <m/>
    <m/>
    <n v="3E-10"/>
    <m/>
    <m/>
    <m/>
    <m/>
    <m/>
    <s v="Foissner and Berger 1996"/>
    <m/>
    <s v="na"/>
    <s v="na"/>
  </r>
  <r>
    <m/>
    <x v="2"/>
    <s v="Unicellular eukaryotes"/>
    <s v="Protozoan"/>
    <s v="averaged sized protozoan"/>
    <m/>
    <m/>
    <m/>
    <m/>
    <m/>
    <m/>
    <m/>
    <m/>
    <m/>
    <m/>
    <m/>
    <m/>
    <m/>
    <m/>
    <s v="Finlay 2002"/>
    <s v="1ng unit not given but must be carbon"/>
    <s v="na"/>
    <s v="na"/>
  </r>
  <r>
    <m/>
    <x v="2"/>
    <s v="Unicellular eukaryotes"/>
    <s v="Ciliates"/>
    <s v="Stentor coruleus"/>
    <m/>
    <m/>
    <m/>
    <m/>
    <m/>
    <m/>
    <n v="12"/>
    <n v="1.2E-2"/>
    <n v="1.2E-5"/>
    <m/>
    <m/>
    <m/>
    <m/>
    <m/>
    <s v="Foissner and Berger 1996"/>
    <m/>
    <s v="na"/>
    <s v="na"/>
  </r>
  <r>
    <m/>
    <x v="2"/>
    <s v="Unicellular eukaryotes"/>
    <s v="Amoebas"/>
    <s v="Chaos carolinensis"/>
    <m/>
    <m/>
    <m/>
    <m/>
    <m/>
    <m/>
    <m/>
    <m/>
    <m/>
    <m/>
    <m/>
    <n v="3.4999999999999997E-5"/>
    <m/>
    <m/>
    <s v="DeLong et al. 2010"/>
    <m/>
    <s v="na"/>
    <s v="na"/>
  </r>
  <r>
    <m/>
    <x v="2"/>
    <s v="Unicellular eukaryotes"/>
    <s v="Dinoflagellates"/>
    <s v="dinoflagellates small"/>
    <m/>
    <m/>
    <m/>
    <m/>
    <m/>
    <m/>
    <m/>
    <m/>
    <m/>
    <m/>
    <m/>
    <m/>
    <m/>
    <m/>
    <s v="Menden-Deuer and Lessard 2000"/>
    <m/>
    <s v="na"/>
    <s v="na"/>
  </r>
  <r>
    <m/>
    <x v="2"/>
    <s v="Unicellular eukaryotes"/>
    <s v="Dinoflagellates"/>
    <s v="dinoflagellates large"/>
    <m/>
    <m/>
    <m/>
    <m/>
    <m/>
    <m/>
    <m/>
    <m/>
    <m/>
    <m/>
    <m/>
    <m/>
    <m/>
    <m/>
    <s v="Menden-Deuer and Lessard 2000"/>
    <m/>
    <s v="na"/>
    <s v="na"/>
  </r>
  <r>
    <m/>
    <x v="2"/>
    <s v="Unicellular eukaryotes"/>
    <s v="Ciliates"/>
    <s v="Cyclidium glaucoma"/>
    <m/>
    <m/>
    <m/>
    <m/>
    <n v="2.9610000000000001E-3"/>
    <n v="2.961E-9"/>
    <m/>
    <m/>
    <m/>
    <m/>
    <m/>
    <m/>
    <m/>
    <m/>
    <s v="Finlay 1977"/>
    <m/>
    <s v="na"/>
    <s v="na"/>
  </r>
  <r>
    <m/>
    <x v="2"/>
    <s v="Unicellular eukaryotes"/>
    <s v="Ciliates"/>
    <s v="Spirostomum teres"/>
    <m/>
    <m/>
    <m/>
    <m/>
    <n v="0.21740000000000001"/>
    <n v="2.174E-7"/>
    <m/>
    <m/>
    <m/>
    <m/>
    <m/>
    <m/>
    <m/>
    <m/>
    <s v="Finlay 1977"/>
    <m/>
    <s v="na"/>
    <s v="na"/>
  </r>
  <r>
    <m/>
    <x v="2"/>
    <s v="Unicellular eukaryotes"/>
    <s v="Amoebas"/>
    <s v="Amoeba proteus"/>
    <m/>
    <m/>
    <m/>
    <n v="497000"/>
    <n v="0.497"/>
    <n v="4.9700000000000005E-4"/>
    <m/>
    <m/>
    <m/>
    <m/>
    <m/>
    <m/>
    <m/>
    <m/>
    <s v="Prescott 1955"/>
    <m/>
    <s v="na"/>
    <s v="na"/>
  </r>
  <r>
    <m/>
    <x v="2"/>
    <s v="Unicellular eukaryotes"/>
    <s v="Unicellular eukaryotes - autotroph"/>
    <s v="Tabularia fasciculata"/>
    <m/>
    <m/>
    <m/>
    <m/>
    <n v="5.0000000000000001E-4"/>
    <n v="5.0000000000000003E-10"/>
    <m/>
    <m/>
    <m/>
    <m/>
    <m/>
    <m/>
    <m/>
    <m/>
    <s v="Hillebrand et al. 1999"/>
    <m/>
    <n v="500"/>
    <s v="na"/>
  </r>
  <r>
    <m/>
    <x v="2"/>
    <s v="Unicellular eukaryotes"/>
    <s v="Unicellular eukaryotes - autotroph"/>
    <s v="Melosira moniliformis"/>
    <m/>
    <m/>
    <m/>
    <m/>
    <n v="5.7499999999999999E-3"/>
    <n v="5.7500000000000002E-9"/>
    <m/>
    <m/>
    <m/>
    <m/>
    <m/>
    <m/>
    <m/>
    <m/>
    <s v="Hillebrand et al. 1999"/>
    <m/>
    <n v="5750"/>
    <s v="na"/>
  </r>
  <r>
    <m/>
    <x v="2"/>
    <s v="Unicellular eukaryotes"/>
    <s v="Diatoms"/>
    <s v="Navicula grevillei"/>
    <m/>
    <m/>
    <m/>
    <m/>
    <n v="1.4E-3"/>
    <n v="1.3999999999999999E-9"/>
    <m/>
    <m/>
    <m/>
    <m/>
    <m/>
    <m/>
    <m/>
    <m/>
    <s v="Hillebrand et al. 1999"/>
    <m/>
    <n v="1400"/>
    <s v="na"/>
  </r>
  <r>
    <m/>
    <x v="2"/>
    <s v="Unicellular eukaryotes"/>
    <s v="Ciliates"/>
    <s v="Spirostomum ambiguum "/>
    <m/>
    <m/>
    <m/>
    <m/>
    <m/>
    <m/>
    <n v="14.6"/>
    <n v="1.46E-2"/>
    <n v="1.4599999999999999E-5"/>
    <m/>
    <m/>
    <m/>
    <m/>
    <m/>
    <s v="Foissner and Berger 1996"/>
    <m/>
    <n v="1.46E-2"/>
    <s v="na"/>
  </r>
  <r>
    <m/>
    <x v="2"/>
    <s v="Unicellular eukaryotes"/>
    <s v="Picophytoplankton"/>
    <s v="small"/>
    <m/>
    <m/>
    <m/>
    <m/>
    <m/>
    <m/>
    <n v="1E-8"/>
    <n v="9.9999999999999994E-12"/>
    <n v="1E-14"/>
    <m/>
    <m/>
    <m/>
    <m/>
    <m/>
    <s v="Hatton et al. 2021"/>
    <s v="na"/>
    <s v="na"/>
    <s v="na"/>
  </r>
  <r>
    <m/>
    <x v="2"/>
    <s v="Unicellular eukaryotes"/>
    <s v="Picophytoplankton"/>
    <s v="large"/>
    <m/>
    <m/>
    <m/>
    <m/>
    <m/>
    <m/>
    <n v="9.9999999999999991E-6"/>
    <n v="1E-8"/>
    <n v="9.9999999999999994E-12"/>
    <m/>
    <m/>
    <m/>
    <m/>
    <m/>
    <s v="Hatton et al. 2021"/>
    <s v="na"/>
    <s v="na"/>
    <s v="na"/>
  </r>
  <r>
    <m/>
    <x v="2"/>
    <s v="Unicellular eukaryotes"/>
    <s v="Nanophytoplankton"/>
    <s v="small"/>
    <m/>
    <m/>
    <m/>
    <m/>
    <m/>
    <m/>
    <n v="9.9999999999999995E-7"/>
    <n v="1.0000000000000001E-9"/>
    <n v="9.9999999999999998E-13"/>
    <m/>
    <m/>
    <m/>
    <m/>
    <m/>
    <s v="Hatton et al. 2021"/>
    <s v="na"/>
    <s v="na"/>
    <s v="na"/>
  </r>
  <r>
    <m/>
    <x v="2"/>
    <s v="Unicellular eukaryotes"/>
    <s v="Nanophytoplankton"/>
    <s v="large"/>
    <m/>
    <m/>
    <m/>
    <m/>
    <m/>
    <m/>
    <n v="0.01"/>
    <n v="1.0000000000000001E-5"/>
    <n v="1E-8"/>
    <m/>
    <m/>
    <m/>
    <m/>
    <m/>
    <s v="Hatton et al. 2021"/>
    <s v="na"/>
    <s v="na"/>
    <s v="na"/>
  </r>
  <r>
    <m/>
    <x v="2"/>
    <s v="Unicellular eukaryotes"/>
    <s v="Microphytoplankton"/>
    <s v="small"/>
    <m/>
    <m/>
    <m/>
    <m/>
    <m/>
    <m/>
    <n v="1E-3"/>
    <n v="1.0000000000000002E-6"/>
    <n v="1.0000000000000001E-9"/>
    <m/>
    <m/>
    <m/>
    <m/>
    <m/>
    <s v="Hatton et al. 2021"/>
    <s v="na"/>
    <s v="na"/>
    <s v="na"/>
  </r>
  <r>
    <m/>
    <x v="2"/>
    <s v="Unicellular eukaryotes"/>
    <s v="Microphytoplankton"/>
    <s v="large"/>
    <m/>
    <m/>
    <m/>
    <m/>
    <m/>
    <m/>
    <n v="10"/>
    <n v="0.01"/>
    <n v="1.0000000000000001E-5"/>
    <m/>
    <m/>
    <m/>
    <m/>
    <m/>
    <s v="Hatton et al. 2021"/>
    <s v="na"/>
    <s v="na"/>
    <s v="na"/>
  </r>
  <r>
    <m/>
    <x v="2"/>
    <s v="na"/>
    <s v="Nanozooplankton"/>
    <s v="small"/>
    <m/>
    <m/>
    <m/>
    <m/>
    <m/>
    <m/>
    <n v="1.0000000000000001E-7"/>
    <n v="1E-10"/>
    <n v="1E-13"/>
    <m/>
    <m/>
    <m/>
    <m/>
    <m/>
    <s v="Hatton et al. 2021"/>
    <s v="na"/>
    <s v="na"/>
    <s v="na"/>
  </r>
  <r>
    <m/>
    <x v="2"/>
    <s v="na"/>
    <s v="Nanozooplankton"/>
    <s v="large"/>
    <m/>
    <m/>
    <m/>
    <m/>
    <m/>
    <m/>
    <n v="1E-4"/>
    <n v="1.0000000000000001E-7"/>
    <n v="1E-10"/>
    <m/>
    <m/>
    <m/>
    <m/>
    <m/>
    <s v="Hatton et al. 2021"/>
    <s v="na"/>
    <s v="na"/>
    <s v="na"/>
  </r>
  <r>
    <m/>
    <x v="2"/>
    <s v="Unicellular eukaryotes"/>
    <s v="Protists"/>
    <s v="unicellular phytoplankton - wide range of species"/>
    <m/>
    <m/>
    <m/>
    <m/>
    <m/>
    <m/>
    <m/>
    <m/>
    <m/>
    <m/>
    <m/>
    <m/>
    <m/>
    <m/>
    <s v="López-Sandoval 2014"/>
    <s v="na"/>
    <s v="na"/>
    <s v="na"/>
  </r>
  <r>
    <m/>
    <x v="2"/>
    <s v="Unicellular eukaryotes"/>
    <s v="Amoebas"/>
    <s v="Amoebae, some aquatic"/>
    <m/>
    <m/>
    <m/>
    <m/>
    <m/>
    <m/>
    <m/>
    <m/>
    <m/>
    <m/>
    <m/>
    <m/>
    <m/>
    <m/>
    <s v="https://arcella.nl/"/>
    <s v="na"/>
    <s v="na"/>
    <s v="na"/>
  </r>
  <r>
    <m/>
    <x v="3"/>
    <s v="Micro-metazoan"/>
    <s v="Rotifera"/>
    <s v="Colurella colurus"/>
    <n v="65"/>
    <m/>
    <n v="3.9543161280887777E-3"/>
    <m/>
    <m/>
    <m/>
    <m/>
    <m/>
    <m/>
    <m/>
    <m/>
    <m/>
    <n v="6.4999999999999994E-5"/>
    <n v="3.9543161280887781E-9"/>
    <s v="unpublished data used in Reiss &amp; Schmid-Araya 2010"/>
    <m/>
    <s v="na"/>
    <s v="na"/>
  </r>
  <r>
    <m/>
    <x v="3"/>
    <s v="Micro-metazoan"/>
    <s v="Copepoda"/>
    <s v="Copepod nauplii"/>
    <m/>
    <m/>
    <n v="0.02"/>
    <m/>
    <m/>
    <m/>
    <m/>
    <m/>
    <m/>
    <m/>
    <m/>
    <m/>
    <m/>
    <n v="2E-8"/>
    <s v="Gradinger 1999"/>
    <m/>
    <n v="0.02"/>
    <s v="na"/>
  </r>
  <r>
    <m/>
    <x v="3"/>
    <s v="Micro-metazoan"/>
    <s v="Rotifera"/>
    <s v="Rotatoria"/>
    <m/>
    <m/>
    <n v="2.3E-2"/>
    <m/>
    <m/>
    <m/>
    <m/>
    <m/>
    <m/>
    <m/>
    <m/>
    <m/>
    <m/>
    <n v="2.3000000000000001E-8"/>
    <s v="Gradinger 1999"/>
    <m/>
    <n v="2.3E-2"/>
    <s v="na"/>
  </r>
  <r>
    <m/>
    <x v="3"/>
    <s v="Micro-metazoan"/>
    <s v="Nematoda"/>
    <s v="Nematoda"/>
    <m/>
    <m/>
    <n v="0.05"/>
    <m/>
    <m/>
    <m/>
    <m/>
    <m/>
    <m/>
    <m/>
    <m/>
    <m/>
    <m/>
    <n v="5.0000000000000004E-8"/>
    <s v="Bar-On et al. 2018 "/>
    <s v="≈0.05 μg C"/>
    <m/>
    <s v="na"/>
  </r>
  <r>
    <m/>
    <x v="3"/>
    <s v="Micro-metazoan"/>
    <s v="Copepoda"/>
    <s v="Copepoda small"/>
    <m/>
    <m/>
    <n v="7.0000000000000007E-2"/>
    <m/>
    <m/>
    <m/>
    <m/>
    <m/>
    <m/>
    <m/>
    <m/>
    <m/>
    <m/>
    <n v="7.0000000000000005E-8"/>
    <s v="Bott &amp; Borchard 1999"/>
    <m/>
    <n v="7.0000000000000007E-2"/>
    <s v="na"/>
  </r>
  <r>
    <m/>
    <x v="3"/>
    <s v="Micro-metazoan"/>
    <s v="Nematoda"/>
    <s v="Nematoda"/>
    <m/>
    <m/>
    <n v="0.13"/>
    <m/>
    <m/>
    <m/>
    <m/>
    <m/>
    <m/>
    <m/>
    <m/>
    <m/>
    <m/>
    <n v="1.3E-7"/>
    <s v="Gradinger 1999"/>
    <m/>
    <n v="0.13"/>
    <s v="na"/>
  </r>
  <r>
    <m/>
    <x v="3"/>
    <s v="Micro-metazoan"/>
    <s v="Micro-metazoans"/>
    <s v="Mesozooplankton marine small"/>
    <m/>
    <m/>
    <n v="0.15"/>
    <m/>
    <m/>
    <m/>
    <m/>
    <m/>
    <m/>
    <m/>
    <m/>
    <m/>
    <m/>
    <n v="1.4999999999999999E-7"/>
    <s v="Bar-On et al. 2018 "/>
    <s v="≈4 μg C"/>
    <m/>
    <s v="na"/>
  </r>
  <r>
    <m/>
    <x v="3"/>
    <s v="Micro-metazoan"/>
    <s v="Mesozooplankton"/>
    <s v="na"/>
    <m/>
    <m/>
    <n v="0.15"/>
    <m/>
    <m/>
    <m/>
    <m/>
    <m/>
    <m/>
    <m/>
    <m/>
    <m/>
    <m/>
    <n v="1.4999999999999999E-7"/>
    <s v="Bar-On et al. 2018 "/>
    <m/>
    <m/>
    <s v="na"/>
  </r>
  <r>
    <m/>
    <x v="3"/>
    <s v="Micro-metazoan"/>
    <s v="Micro-metazoans"/>
    <s v="Oligochaetes, small"/>
    <m/>
    <m/>
    <n v="0.24"/>
    <m/>
    <m/>
    <m/>
    <m/>
    <m/>
    <m/>
    <m/>
    <m/>
    <m/>
    <m/>
    <n v="2.3999999999999998E-7"/>
    <s v="Bott &amp; Borchard 1999"/>
    <m/>
    <n v="0.24"/>
    <s v="na"/>
  </r>
  <r>
    <m/>
    <x v="3"/>
    <s v="Micro-metazoan"/>
    <s v="Micro-metazoans"/>
    <s v="Nematode family Dorylaimidae"/>
    <n v="3171"/>
    <m/>
    <n v="1.3827469023323613"/>
    <m/>
    <m/>
    <m/>
    <m/>
    <m/>
    <m/>
    <m/>
    <m/>
    <m/>
    <n v="3.1709999999999998E-3"/>
    <n v="1.3827469023323613E-6"/>
    <s v="unpublished data used in Reiss &amp; Schmid-Araya 2010"/>
    <m/>
    <m/>
    <s v="na"/>
  </r>
  <r>
    <m/>
    <x v="3"/>
    <s v="Micro-metazoan"/>
    <s v="Micro-metazoans"/>
    <s v="Chrironomids, small"/>
    <m/>
    <m/>
    <n v="1.6"/>
    <m/>
    <m/>
    <m/>
    <m/>
    <m/>
    <m/>
    <m/>
    <m/>
    <m/>
    <m/>
    <n v="1.6000000000000001E-6"/>
    <s v="Bott &amp; Borchard 1999"/>
    <m/>
    <n v="1.6"/>
    <s v="na"/>
  </r>
  <r>
    <m/>
    <x v="3"/>
    <s v="Micro-metazoan"/>
    <s v="Micro-metazoans"/>
    <s v="Oligochaetes, large"/>
    <m/>
    <m/>
    <n v="4.7"/>
    <m/>
    <m/>
    <m/>
    <m/>
    <m/>
    <m/>
    <m/>
    <m/>
    <m/>
    <m/>
    <n v="4.6999999999999999E-6"/>
    <s v="Bott &amp; Borchard 1999"/>
    <m/>
    <n v="4.7"/>
    <s v="na"/>
  </r>
  <r>
    <m/>
    <x v="3"/>
    <s v="Micro-metazoan"/>
    <s v="Micro-metazoans"/>
    <s v="Copepoda large"/>
    <m/>
    <m/>
    <n v="5.032"/>
    <m/>
    <m/>
    <m/>
    <m/>
    <m/>
    <m/>
    <m/>
    <m/>
    <m/>
    <m/>
    <n v="5.0320000000000003E-6"/>
    <s v="Bott &amp; Borchard 1999"/>
    <m/>
    <n v="5.032"/>
    <s v="na"/>
  </r>
  <r>
    <m/>
    <x v="3"/>
    <s v="Micro-metazoan"/>
    <s v="Micro-metazoans"/>
    <s v="Chrironomids, large"/>
    <m/>
    <m/>
    <n v="5.2"/>
    <m/>
    <m/>
    <m/>
    <m/>
    <m/>
    <m/>
    <m/>
    <m/>
    <m/>
    <m/>
    <n v="5.2000000000000002E-6"/>
    <s v="Bott &amp; Borchard 1999"/>
    <m/>
    <n v="5.2"/>
    <s v="na"/>
  </r>
  <r>
    <m/>
    <x v="3"/>
    <s v="Micro-metazoan"/>
    <s v="Micro-metazoans"/>
    <s v="Mesozooplankton marine large"/>
    <m/>
    <m/>
    <n v="100"/>
    <m/>
    <m/>
    <m/>
    <m/>
    <m/>
    <m/>
    <m/>
    <m/>
    <m/>
    <m/>
    <n v="1E-4"/>
    <s v="Bar-On et al. 2018 "/>
    <m/>
    <m/>
    <s v="na"/>
  </r>
  <r>
    <m/>
    <x v="3"/>
    <s v="Micro-metazoan"/>
    <s v="Nematode "/>
    <s v="small"/>
    <n v="117"/>
    <m/>
    <m/>
    <m/>
    <m/>
    <m/>
    <m/>
    <m/>
    <m/>
    <m/>
    <m/>
    <m/>
    <n v="1.17E-4"/>
    <m/>
    <s v="Armenteros et al. 2015"/>
    <m/>
    <m/>
    <s v="na"/>
  </r>
  <r>
    <m/>
    <x v="3"/>
    <s v="Micro-metazoan"/>
    <s v="Nematode "/>
    <s v="large"/>
    <n v="16175"/>
    <m/>
    <m/>
    <m/>
    <m/>
    <m/>
    <m/>
    <m/>
    <m/>
    <m/>
    <m/>
    <m/>
    <n v="1.6174999999999998E-2"/>
    <m/>
    <s v="Armenteros et al. 2015"/>
    <m/>
    <m/>
    <s v="na"/>
  </r>
  <r>
    <m/>
    <x v="3"/>
    <s v="na"/>
    <s v="Microzooplankton"/>
    <s v="small"/>
    <m/>
    <m/>
    <m/>
    <m/>
    <m/>
    <m/>
    <n v="9.9999999999999991E-6"/>
    <n v="1E-8"/>
    <n v="9.9999999999999994E-12"/>
    <m/>
    <m/>
    <m/>
    <m/>
    <m/>
    <s v="Hatton et al. 2021"/>
    <s v="na"/>
    <s v="na"/>
    <s v="na"/>
  </r>
  <r>
    <m/>
    <x v="3"/>
    <s v="na"/>
    <s v="Microzooplankton"/>
    <s v="large"/>
    <m/>
    <m/>
    <m/>
    <m/>
    <m/>
    <m/>
    <n v="10"/>
    <n v="0.01"/>
    <n v="1.0000000000000001E-5"/>
    <m/>
    <m/>
    <m/>
    <m/>
    <m/>
    <s v="Hatton et al. 2021"/>
    <s v="na"/>
    <s v="na"/>
    <s v="na"/>
  </r>
  <r>
    <m/>
    <x v="3"/>
    <s v="Micro-metazoan"/>
    <s v="Micro-metazoans"/>
    <s v="most nematodes"/>
    <m/>
    <m/>
    <m/>
    <m/>
    <n v="1"/>
    <n v="9.9999999999999995E-7"/>
    <n v="1"/>
    <m/>
    <n v="9.9999999999999995E-7"/>
    <m/>
    <m/>
    <m/>
    <m/>
    <m/>
    <s v="Andrassy 1956"/>
    <m/>
    <m/>
    <s v="na"/>
  </r>
  <r>
    <m/>
    <x v="3"/>
    <s v="Micro-metazoan"/>
    <s v="Rotifera"/>
    <s v="Brachionus calyciflorus"/>
    <m/>
    <m/>
    <m/>
    <m/>
    <m/>
    <m/>
    <m/>
    <m/>
    <m/>
    <n v="1.5400000000000001E-3"/>
    <n v="1.5400000000000001E-9"/>
    <n v="1.5400000000000001E-6"/>
    <m/>
    <m/>
    <s v="DeLong et al. 2010"/>
    <m/>
    <m/>
    <s v="na"/>
  </r>
  <r>
    <m/>
    <x v="3"/>
    <s v="Macrofauna"/>
    <s v="Mesozooplankton"/>
    <s v="small"/>
    <m/>
    <m/>
    <m/>
    <m/>
    <m/>
    <m/>
    <n v="1"/>
    <n v="1E-3"/>
    <n v="9.9999999999999995E-7"/>
    <m/>
    <m/>
    <m/>
    <m/>
    <m/>
    <s v="Hatton et al. 2021"/>
    <s v="na"/>
    <s v="na"/>
    <s v="na"/>
  </r>
  <r>
    <m/>
    <x v="3"/>
    <s v="Macrofauna"/>
    <s v="Mesozooplankton"/>
    <s v="large"/>
    <m/>
    <m/>
    <m/>
    <m/>
    <m/>
    <m/>
    <n v="10000000"/>
    <n v="10000"/>
    <n v="10"/>
    <m/>
    <m/>
    <m/>
    <m/>
    <m/>
    <s v="Hatton et al. 2021"/>
    <s v="na"/>
    <s v="na"/>
    <s v="na"/>
  </r>
  <r>
    <m/>
    <x v="3"/>
    <s v="Macrofauna"/>
    <s v="Macrozooplankton"/>
    <s v="small"/>
    <m/>
    <m/>
    <m/>
    <m/>
    <m/>
    <m/>
    <n v="1000"/>
    <n v="1"/>
    <n v="1E-3"/>
    <m/>
    <m/>
    <m/>
    <m/>
    <m/>
    <s v="Hatton et al. 2021"/>
    <s v="na"/>
    <s v="na"/>
    <s v="na"/>
  </r>
  <r>
    <m/>
    <x v="3"/>
    <s v="Macrofauna"/>
    <s v="Macrozooplankton"/>
    <s v="large"/>
    <m/>
    <m/>
    <m/>
    <m/>
    <m/>
    <m/>
    <n v="1000000000"/>
    <n v="1000000"/>
    <n v="1000"/>
    <m/>
    <m/>
    <m/>
    <m/>
    <m/>
    <s v="Hatton et al. 2021"/>
    <s v="na"/>
    <s v="na"/>
    <s v="na"/>
  </r>
  <r>
    <m/>
    <x v="3"/>
    <s v="Micro-metazoan"/>
    <s v="Micro-metazoans"/>
    <s v="Wide range of meiofauna"/>
    <m/>
    <m/>
    <m/>
    <m/>
    <m/>
    <m/>
    <m/>
    <m/>
    <m/>
    <m/>
    <m/>
    <m/>
    <m/>
    <m/>
    <s v="Curini-Galletti et al. 2012"/>
    <s v="na"/>
    <s v="na"/>
    <s v="na"/>
  </r>
  <r>
    <m/>
    <x v="3"/>
    <s v="na"/>
    <s v="Mesozooplankton"/>
    <s v="small"/>
    <m/>
    <m/>
    <m/>
    <m/>
    <m/>
    <m/>
    <n v="1"/>
    <n v="1E-3"/>
    <n v="9.9999999999999995E-7"/>
    <m/>
    <m/>
    <m/>
    <m/>
    <m/>
    <s v="Hatton et al. 2021"/>
    <s v="Mesozooplankton 10-6 10"/>
    <m/>
    <s v="na"/>
  </r>
  <r>
    <m/>
    <x v="4"/>
    <s v="Macrofauna"/>
    <s v="Mesozooplankton"/>
    <s v="na"/>
    <m/>
    <m/>
    <n v="100"/>
    <m/>
    <m/>
    <m/>
    <m/>
    <m/>
    <m/>
    <m/>
    <m/>
    <m/>
    <m/>
    <n v="1E-4"/>
    <s v="Bar-On et al. 2018 "/>
    <m/>
    <m/>
    <s v="na"/>
  </r>
  <r>
    <m/>
    <x v="4"/>
    <s v="Macrofauna"/>
    <s v="Macrofauna"/>
    <s v="smallest macrofauna by definition"/>
    <n v="500"/>
    <m/>
    <m/>
    <m/>
    <m/>
    <m/>
    <m/>
    <m/>
    <m/>
    <m/>
    <m/>
    <m/>
    <n v="5.0000000000000001E-4"/>
    <m/>
    <s v="textbooks"/>
    <m/>
    <n v="0.5"/>
    <m/>
  </r>
  <r>
    <m/>
    <x v="4"/>
    <s v="Macrofauna"/>
    <s v="Macrofauna"/>
    <s v="Asellus aquaticus small "/>
    <n v="4000"/>
    <m/>
    <m/>
    <m/>
    <m/>
    <m/>
    <m/>
    <m/>
    <m/>
    <m/>
    <m/>
    <n v="2.1000000000000003E-3"/>
    <n v="4.0000000000000001E-3"/>
    <n v="8.4000000000000014E-4"/>
    <s v="Reiss et al. 2011"/>
    <s v="4-8 vs. 8–12 mm length for A. aquaticus and G. pulex; 9–14 vs. 14–19 Sericostoma"/>
    <n v="2.1"/>
    <s v="na"/>
  </r>
  <r>
    <m/>
    <x v="4"/>
    <s v="Macrofauna"/>
    <s v="Macrofauna"/>
    <s v="Gammarus pulex small"/>
    <n v="4000"/>
    <m/>
    <m/>
    <m/>
    <m/>
    <m/>
    <m/>
    <m/>
    <m/>
    <m/>
    <m/>
    <n v="2.2000000000000001E-3"/>
    <n v="4.0000000000000001E-3"/>
    <n v="8.8000000000000014E-4"/>
    <s v="Reiss et al. 2011"/>
    <s v="4-8 vs. 8–12 mm length for A. aquaticus and G. pulex; 9–14 vs. 14–19 Sericostoma"/>
    <n v="2.2000000000000002"/>
    <s v="na"/>
  </r>
  <r>
    <m/>
    <x v="4"/>
    <s v="Macrofauna"/>
    <s v="Macrofauna"/>
    <s v="Asellus aquaticus large"/>
    <n v="12000"/>
    <m/>
    <m/>
    <m/>
    <m/>
    <m/>
    <m/>
    <m/>
    <m/>
    <m/>
    <m/>
    <n v="6.1999999999999998E-3"/>
    <n v="1.2E-2"/>
    <n v="2.48E-3"/>
    <s v="Reiss et al. 2011"/>
    <s v="4-8 vs. 8–12 mm length for A. aquaticus and G. pulex; 9–14 vs. 14–19 Sericostoma"/>
    <n v="6.2"/>
    <s v="na"/>
  </r>
  <r>
    <m/>
    <x v="4"/>
    <s v="Macrofauna"/>
    <s v="Macrofauna"/>
    <s v="Gammarus pulex large"/>
    <n v="12000"/>
    <m/>
    <m/>
    <m/>
    <m/>
    <m/>
    <m/>
    <m/>
    <m/>
    <m/>
    <m/>
    <n v="6.7000000000000002E-3"/>
    <n v="1.2E-2"/>
    <n v="2.6800000000000001E-3"/>
    <s v="Reiss et al. 2011"/>
    <s v="4-8 vs. 8–12 mm length for A. aquaticus and G. pulex; 9–14 vs. 14–19 Sericostoma"/>
    <n v="6.7"/>
    <s v="na"/>
  </r>
  <r>
    <m/>
    <x v="4"/>
    <s v="Macrofauna"/>
    <s v="Macrofauna"/>
    <s v="Sericostoma personatum small"/>
    <n v="9000"/>
    <m/>
    <m/>
    <m/>
    <m/>
    <m/>
    <m/>
    <m/>
    <m/>
    <m/>
    <m/>
    <n v="8.6999999999999994E-3"/>
    <n v="8.9999999999999993E-3"/>
    <n v="3.48E-3"/>
    <s v="Reiss et al. 2011"/>
    <s v="4-8 vs. 8–12 mm length for A. aquaticus and G. pulex; 9–14 vs. 14–19 Sericostoma"/>
    <n v="8.6999999999999993"/>
    <s v="na"/>
  </r>
  <r>
    <m/>
    <x v="4"/>
    <s v="Macrofauna"/>
    <s v="Macrofauna"/>
    <s v="Sericostoma personatum large"/>
    <n v="19000"/>
    <m/>
    <m/>
    <m/>
    <m/>
    <m/>
    <m/>
    <m/>
    <m/>
    <m/>
    <m/>
    <n v="1.6E-2"/>
    <n v="1.9E-2"/>
    <n v="6.4000000000000003E-3"/>
    <s v="Reiss et al. 2011"/>
    <s v="4-8 vs. 8–12 mm length for A. aquaticus and G. pulex; 9–14 vs. 14–19 Sericostoma"/>
    <n v="16"/>
    <s v="na"/>
  </r>
  <r>
    <m/>
    <x v="4"/>
    <s v="Macrofauna"/>
    <s v="Macrozooplankton"/>
    <s v="small"/>
    <m/>
    <m/>
    <m/>
    <m/>
    <m/>
    <m/>
    <m/>
    <m/>
    <m/>
    <m/>
    <m/>
    <m/>
    <n v="0.02"/>
    <m/>
    <s v="Colombet et al. 2020"/>
    <s v="definition for macrozooplankton 2-20cm"/>
    <m/>
    <s v="na"/>
  </r>
  <r>
    <m/>
    <x v="4"/>
    <s v="Macrofauna"/>
    <s v="Macrozooplankton"/>
    <s v="large"/>
    <m/>
    <m/>
    <m/>
    <m/>
    <m/>
    <m/>
    <m/>
    <m/>
    <m/>
    <m/>
    <m/>
    <m/>
    <n v="0.2"/>
    <m/>
    <s v="Colombet et al. 2020"/>
    <s v="definition for macrozooplankton 2-20cm"/>
    <m/>
    <s v="na"/>
  </r>
  <r>
    <m/>
    <x v="4"/>
    <s v="Macrofauna"/>
    <s v="Macrozooplankton"/>
    <s v="large"/>
    <m/>
    <m/>
    <m/>
    <m/>
    <m/>
    <m/>
    <m/>
    <m/>
    <m/>
    <m/>
    <m/>
    <m/>
    <n v="0.2"/>
    <m/>
    <s v="Colombet et al. 2020"/>
    <s v="definition for macrozooplankton 2-20cm"/>
    <m/>
    <s v="na"/>
  </r>
  <r>
    <m/>
    <x v="4"/>
    <s v="Macrofauna"/>
    <s v="Macrozooplankton"/>
    <s v="small"/>
    <m/>
    <m/>
    <m/>
    <m/>
    <m/>
    <m/>
    <n v="1000"/>
    <n v="1"/>
    <n v="1E-3"/>
    <m/>
    <m/>
    <m/>
    <m/>
    <m/>
    <s v="Hatton et al. 2021"/>
    <s v="Macrozooplankton 10-3 103"/>
    <m/>
    <s v="na"/>
  </r>
  <r>
    <m/>
    <x v="4"/>
    <s v="Macrofauna"/>
    <s v="Macrozooplankton"/>
    <s v="Daphnia magna"/>
    <m/>
    <m/>
    <m/>
    <m/>
    <m/>
    <m/>
    <m/>
    <m/>
    <m/>
    <m/>
    <m/>
    <n v="9.3899999999999995E-4"/>
    <m/>
    <m/>
    <s v="DeLong et al. 2010"/>
    <m/>
    <m/>
    <s v="na"/>
  </r>
  <r>
    <m/>
    <x v="4"/>
    <s v="Macrofauna"/>
    <s v="Macrofauna"/>
    <s v="Gammarus pulex"/>
    <m/>
    <m/>
    <m/>
    <m/>
    <m/>
    <m/>
    <m/>
    <m/>
    <m/>
    <m/>
    <m/>
    <n v="6.5799999999999997E-2"/>
    <m/>
    <m/>
    <s v="DeLong et al. 2010"/>
    <m/>
    <m/>
    <s v="na"/>
  </r>
  <r>
    <m/>
    <x v="4"/>
    <s v="Macrofauna"/>
    <s v="Mesozooplankton"/>
    <s v="large"/>
    <m/>
    <m/>
    <m/>
    <m/>
    <m/>
    <m/>
    <n v="10000000"/>
    <n v="10000"/>
    <n v="10"/>
    <m/>
    <m/>
    <m/>
    <m/>
    <m/>
    <s v="Hatton et al. 2021"/>
    <s v="Mesozooplankton 10-6 10"/>
    <m/>
    <s v="na"/>
  </r>
  <r>
    <m/>
    <x v="4"/>
    <s v="Macrofauna"/>
    <s v="Macrozooplankton"/>
    <s v="large"/>
    <m/>
    <m/>
    <m/>
    <m/>
    <m/>
    <m/>
    <n v="1000000000"/>
    <n v="1000000"/>
    <n v="1000"/>
    <m/>
    <m/>
    <m/>
    <m/>
    <m/>
    <s v="Hatton et al. 2021"/>
    <s v="Macrozooplankton 10-3 103"/>
    <m/>
    <s v="na"/>
  </r>
  <r>
    <m/>
    <x v="5"/>
    <s v="not included in analysis"/>
    <s v="Unicellular eukaryotes - autotroph"/>
    <s v="Phototrophic eukaryotes - Ostreococcus tauri"/>
    <n v="1.06898"/>
    <m/>
    <m/>
    <m/>
    <m/>
    <m/>
    <m/>
    <m/>
    <m/>
    <m/>
    <m/>
    <m/>
    <n v="1.0689799999999999E-6"/>
    <m/>
    <s v="Andersen et al. 2016"/>
    <s v="na"/>
    <n v="1.0689800000000001E-4"/>
    <s v="data not used - factor of 10 out"/>
  </r>
  <r>
    <m/>
    <x v="5"/>
    <s v="not included in analysis"/>
    <s v="Unicellular eukaryotes - heterotroph"/>
    <s v="Heterotrophic eukaryotes - Cafeteria minuta"/>
    <n v="1.4999999999999998"/>
    <m/>
    <m/>
    <m/>
    <m/>
    <m/>
    <m/>
    <m/>
    <m/>
    <m/>
    <m/>
    <m/>
    <n v="1.4999999999999996E-6"/>
    <m/>
    <s v="Andersen et al. 2016"/>
    <s v="na"/>
    <n v="1.4999999999999999E-4"/>
    <s v="data not used - factor of 10 out"/>
  </r>
  <r>
    <m/>
    <x v="5"/>
    <s v="not included in analysis"/>
    <s v="Rotifera"/>
    <s v="Brachionus rubens"/>
    <n v="8.3000000000000007"/>
    <m/>
    <m/>
    <m/>
    <m/>
    <m/>
    <m/>
    <m/>
    <m/>
    <m/>
    <m/>
    <m/>
    <n v="8.3000000000000002E-6"/>
    <m/>
    <s v="Andersen et al. 2016"/>
    <s v="na"/>
    <n v="8.3000000000000001E-4"/>
    <s v="data not used - factor of 10 out"/>
  </r>
  <r>
    <m/>
    <x v="5"/>
    <s v="not included in analysis"/>
    <s v="Rotifera"/>
    <s v="Brachionus calicyfiorus"/>
    <n v="14.499999999999998"/>
    <m/>
    <m/>
    <m/>
    <m/>
    <m/>
    <m/>
    <m/>
    <m/>
    <m/>
    <m/>
    <m/>
    <n v="1.4499999999999998E-5"/>
    <m/>
    <s v="Andersen et al. 2016"/>
    <s v="na"/>
    <n v="1.4499999999999999E-3"/>
    <s v="data not used - factor of 10 out"/>
  </r>
  <r>
    <m/>
    <x v="5"/>
    <s v="not included in analysis"/>
    <s v="Micro-metazoans, crustaceans"/>
    <s v="Oithona davisae"/>
    <n v="84"/>
    <m/>
    <m/>
    <m/>
    <m/>
    <m/>
    <m/>
    <m/>
    <m/>
    <m/>
    <m/>
    <m/>
    <n v="8.3999999999999995E-5"/>
    <m/>
    <s v="Andersen et al. 2016"/>
    <s v="na"/>
    <n v="8.3999999999999995E-3"/>
    <s v="data not used - factor of 10 out"/>
  </r>
  <r>
    <m/>
    <x v="5"/>
    <s v="not included in analysis"/>
    <s v="Unicellular eukaryotes - autotroph"/>
    <s v="Neocalyptrella robusta"/>
    <n v="100.8811"/>
    <m/>
    <m/>
    <m/>
    <m/>
    <m/>
    <m/>
    <m/>
    <m/>
    <m/>
    <m/>
    <m/>
    <n v="1.0088110000000001E-4"/>
    <m/>
    <s v="Andersen et al. 2016"/>
    <s v="na"/>
    <n v="1.0088110000000001E-2"/>
    <s v="data not used - factor of 10 out"/>
  </r>
  <r>
    <m/>
    <x v="5"/>
    <s v="not included in analysis"/>
    <s v="Unicellular eukaryotes - heterotroph"/>
    <s v="Spirostomum ambiguum"/>
    <n v="284"/>
    <m/>
    <m/>
    <m/>
    <m/>
    <m/>
    <m/>
    <m/>
    <m/>
    <m/>
    <m/>
    <m/>
    <n v="2.8399999999999996E-4"/>
    <m/>
    <s v="Andersen et al. 2016"/>
    <s v="na"/>
    <n v="2.8400000000000002E-2"/>
    <s v="data not used - factor of 10 out"/>
  </r>
  <r>
    <m/>
    <x v="5"/>
    <s v="not included in analysis"/>
    <s v="Fungi"/>
    <s v="Soil fungi"/>
    <m/>
    <m/>
    <m/>
    <m/>
    <m/>
    <m/>
    <m/>
    <m/>
    <m/>
    <m/>
    <m/>
    <m/>
    <m/>
    <m/>
    <s v="Bar-On et al. 2018 "/>
    <s v="V≈100 μm; 15 pg C cell-1."/>
    <m/>
    <s v="data not used as soil"/>
  </r>
  <r>
    <m/>
    <x v="5"/>
    <s v="Across"/>
    <s v="Across group comparison"/>
    <s v="Examples of species "/>
    <m/>
    <m/>
    <m/>
    <m/>
    <m/>
    <m/>
    <m/>
    <m/>
    <m/>
    <m/>
    <m/>
    <m/>
    <m/>
    <m/>
    <s v="Tekwa et al."/>
    <s v="na"/>
    <s v="na"/>
    <s v="na"/>
  </r>
  <r>
    <m/>
    <x v="4"/>
    <s v="Macrofauna"/>
    <s v="Macrofauna"/>
    <s v="Pacifastacus lenuisculus"/>
    <m/>
    <m/>
    <m/>
    <m/>
    <m/>
    <m/>
    <m/>
    <m/>
    <n v="20"/>
    <m/>
    <m/>
    <m/>
    <m/>
    <n v="2"/>
    <s v="Hatton et al. 2019"/>
    <m/>
    <m/>
    <m/>
  </r>
  <r>
    <m/>
    <x v="6"/>
    <m/>
    <m/>
    <m/>
    <m/>
    <m/>
    <m/>
    <m/>
    <m/>
    <m/>
    <m/>
    <m/>
    <m/>
    <m/>
    <m/>
    <m/>
    <m/>
    <m/>
    <m/>
    <m/>
    <m/>
    <m/>
  </r>
  <r>
    <m/>
    <x v="6"/>
    <m/>
    <m/>
    <m/>
    <m/>
    <m/>
    <m/>
    <m/>
    <m/>
    <m/>
    <m/>
    <m/>
    <m/>
    <m/>
    <m/>
    <m/>
    <m/>
    <m/>
    <m/>
    <m/>
    <m/>
    <m/>
  </r>
  <r>
    <m/>
    <x v="6"/>
    <m/>
    <m/>
    <m/>
    <m/>
    <m/>
    <m/>
    <m/>
    <m/>
    <m/>
    <m/>
    <m/>
    <m/>
    <m/>
    <m/>
    <m/>
    <m/>
    <m/>
    <m/>
    <m/>
    <m/>
    <m/>
  </r>
  <r>
    <m/>
    <x v="6"/>
    <m/>
    <m/>
    <m/>
    <m/>
    <m/>
    <m/>
    <m/>
    <m/>
    <m/>
    <m/>
    <m/>
    <m/>
    <m/>
    <m/>
    <m/>
    <m/>
    <m/>
    <m/>
    <m/>
    <m/>
    <m/>
  </r>
  <r>
    <m/>
    <x v="6"/>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1A74A5-228B-49EA-9910-970E4FE989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11" firstHeaderRow="0" firstDataRow="1" firstDataCol="1"/>
  <pivotFields count="23">
    <pivotField showAll="0"/>
    <pivotField axis="axisRow" showAll="0">
      <items count="8">
        <item x="0"/>
        <item x="1"/>
        <item x="2"/>
        <item x="3"/>
        <item x="4"/>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s>
  <rowFields count="1">
    <field x="1"/>
  </rowFields>
  <rowItems count="8">
    <i>
      <x/>
    </i>
    <i>
      <x v="1"/>
    </i>
    <i>
      <x v="2"/>
    </i>
    <i>
      <x v="3"/>
    </i>
    <i>
      <x v="4"/>
    </i>
    <i>
      <x v="5"/>
    </i>
    <i>
      <x v="6"/>
    </i>
    <i t="grand">
      <x/>
    </i>
  </rowItems>
  <colFields count="1">
    <field x="-2"/>
  </colFields>
  <colItems count="4">
    <i>
      <x/>
    </i>
    <i i="1">
      <x v="1"/>
    </i>
    <i i="2">
      <x v="2"/>
    </i>
    <i i="3">
      <x v="3"/>
    </i>
  </colItems>
  <dataFields count="4">
    <dataField name="Min of L (m)" fld="17" subtotal="min" baseField="2" baseItem="0"/>
    <dataField name="Max of L (m)2" fld="17" subtotal="max" baseField="2" baseItem="0"/>
    <dataField name="Min of gC/ind." fld="18" subtotal="min" baseField="2" baseItem="0"/>
    <dataField name="Max of gC/ind.2" fld="18" subtotal="max" baseField="2" baseItem="0"/>
  </dataFields>
  <formats count="1">
    <format dxfId="0">
      <pivotArea collapsedLevelsAreSubtotals="1" fieldPosition="0">
        <references count="1">
          <reference field="1"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rcella.n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atadryad.org/dataset/doi:10.5061/dryad.280gb5mnt" TargetMode="External"/><Relationship Id="rId1" Type="http://schemas.openxmlformats.org/officeDocument/2006/relationships/hyperlink" Target="https://doi.pangaea.de/10.1594/PANGAEA.777384" TargetMode="Externa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hyperlink" Target="https://qmro.qmul.ac.uk/xmlui/handle/123456789/16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D3441-7F25-40E0-9D13-AAF9431ACCC8}">
  <dimension ref="A1:AA27"/>
  <sheetViews>
    <sheetView tabSelected="1" workbookViewId="0">
      <selection activeCell="G20" sqref="G20"/>
    </sheetView>
  </sheetViews>
  <sheetFormatPr defaultRowHeight="14.5" x14ac:dyDescent="0.35"/>
  <sheetData>
    <row r="1" spans="1:2" x14ac:dyDescent="0.35">
      <c r="A1" s="43" t="s">
        <v>648</v>
      </c>
    </row>
    <row r="4" spans="1:2" x14ac:dyDescent="0.35">
      <c r="A4" t="s">
        <v>0</v>
      </c>
    </row>
    <row r="6" spans="1:2" x14ac:dyDescent="0.35">
      <c r="A6" t="s">
        <v>703</v>
      </c>
    </row>
    <row r="7" spans="1:2" x14ac:dyDescent="0.35">
      <c r="A7" t="s">
        <v>1</v>
      </c>
    </row>
    <row r="8" spans="1:2" x14ac:dyDescent="0.35">
      <c r="A8" t="s">
        <v>2</v>
      </c>
    </row>
    <row r="11" spans="1:2" x14ac:dyDescent="0.35">
      <c r="A11" t="s">
        <v>486</v>
      </c>
      <c r="B11" s="53" t="s">
        <v>1268</v>
      </c>
    </row>
    <row r="12" spans="1:2" x14ac:dyDescent="0.35">
      <c r="A12" t="s">
        <v>487</v>
      </c>
      <c r="B12" t="s">
        <v>429</v>
      </c>
    </row>
    <row r="13" spans="1:2" x14ac:dyDescent="0.35">
      <c r="A13" t="s">
        <v>488</v>
      </c>
      <c r="B13" s="1" t="s">
        <v>430</v>
      </c>
    </row>
    <row r="14" spans="1:2" x14ac:dyDescent="0.35">
      <c r="A14" t="s">
        <v>489</v>
      </c>
      <c r="B14" s="1" t="s">
        <v>431</v>
      </c>
    </row>
    <row r="15" spans="1:2" x14ac:dyDescent="0.35">
      <c r="A15" t="s">
        <v>490</v>
      </c>
      <c r="B15" s="1" t="s">
        <v>1079</v>
      </c>
    </row>
    <row r="16" spans="1:2" x14ac:dyDescent="0.35">
      <c r="A16" t="s">
        <v>491</v>
      </c>
      <c r="B16" t="s">
        <v>863</v>
      </c>
    </row>
    <row r="17" spans="1:27" x14ac:dyDescent="0.35">
      <c r="A17" t="s">
        <v>492</v>
      </c>
      <c r="B17" s="1" t="s">
        <v>1080</v>
      </c>
    </row>
    <row r="18" spans="1:27" x14ac:dyDescent="0.35">
      <c r="A18" t="s">
        <v>493</v>
      </c>
      <c r="B18" t="s">
        <v>1352</v>
      </c>
    </row>
    <row r="19" spans="1:27" x14ac:dyDescent="0.35">
      <c r="A19" t="s">
        <v>494</v>
      </c>
      <c r="B19" t="s">
        <v>497</v>
      </c>
    </row>
    <row r="20" spans="1:27" x14ac:dyDescent="0.35">
      <c r="A20" t="s">
        <v>1359</v>
      </c>
      <c r="B20" s="1" t="s">
        <v>1575</v>
      </c>
    </row>
    <row r="27" spans="1:27" x14ac:dyDescent="0.35">
      <c r="AA27" t="s">
        <v>3</v>
      </c>
    </row>
  </sheetData>
  <sortState xmlns:xlrd2="http://schemas.microsoft.com/office/spreadsheetml/2017/richdata2" ref="A22:A86">
    <sortCondition ref="A8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ABB1B-632B-4EBF-830F-B8B043EFC4CF}">
  <dimension ref="A1:X592"/>
  <sheetViews>
    <sheetView zoomScale="60" zoomScaleNormal="60" workbookViewId="0">
      <pane ySplit="1" topLeftCell="A2" activePane="bottomLeft" state="frozen"/>
      <selection activeCell="F1" sqref="F1"/>
      <selection pane="bottomLeft" activeCell="X19" sqref="X19"/>
    </sheetView>
  </sheetViews>
  <sheetFormatPr defaultRowHeight="14.5" x14ac:dyDescent="0.35"/>
  <cols>
    <col min="1" max="1" width="6.1796875" style="54" customWidth="1"/>
    <col min="2" max="2" width="7.453125" style="99" customWidth="1"/>
    <col min="3" max="3" width="7.453125" style="54" customWidth="1"/>
    <col min="4" max="4" width="13.6328125" style="54" customWidth="1"/>
    <col min="5" max="5" width="24.81640625" style="130" customWidth="1"/>
    <col min="6" max="6" width="24.81640625" style="54" customWidth="1"/>
    <col min="7" max="7" width="8.6328125" style="137" customWidth="1"/>
    <col min="8" max="9" width="7.453125" style="58" customWidth="1"/>
    <col min="10" max="10" width="8.81640625" style="54" customWidth="1"/>
    <col min="11" max="17" width="7.453125" style="58" customWidth="1"/>
    <col min="18" max="18" width="8.1796875" style="55" customWidth="1"/>
    <col min="19" max="19" width="9" style="55" customWidth="1"/>
    <col min="20" max="20" width="12" style="54" customWidth="1"/>
    <col min="21" max="22" width="7.453125" style="54" customWidth="1"/>
    <col min="23" max="23" width="9.26953125" style="54" customWidth="1"/>
  </cols>
  <sheetData>
    <row r="1" spans="1:23" s="26" customFormat="1" x14ac:dyDescent="0.35">
      <c r="A1" s="133" t="s">
        <v>1469</v>
      </c>
      <c r="B1" s="166" t="s">
        <v>4</v>
      </c>
      <c r="C1" s="133" t="s">
        <v>5</v>
      </c>
      <c r="D1" s="133" t="s">
        <v>6</v>
      </c>
      <c r="E1" s="133" t="s">
        <v>7</v>
      </c>
      <c r="F1" s="133" t="s">
        <v>1467</v>
      </c>
      <c r="G1" s="136" t="s">
        <v>8</v>
      </c>
      <c r="H1" s="135" t="s">
        <v>14</v>
      </c>
      <c r="I1" s="135" t="s">
        <v>13</v>
      </c>
      <c r="J1" s="134" t="s">
        <v>9</v>
      </c>
      <c r="K1" s="135" t="s">
        <v>10</v>
      </c>
      <c r="L1" s="135" t="s">
        <v>11</v>
      </c>
      <c r="M1" s="135" t="s">
        <v>15</v>
      </c>
      <c r="N1" s="135" t="s">
        <v>17</v>
      </c>
      <c r="O1" s="135" t="s">
        <v>12</v>
      </c>
      <c r="P1" s="135" t="s">
        <v>16</v>
      </c>
      <c r="Q1" s="135" t="s">
        <v>18</v>
      </c>
      <c r="R1" s="175" t="s">
        <v>19</v>
      </c>
      <c r="S1" s="175" t="s">
        <v>20</v>
      </c>
      <c r="T1" s="133" t="s">
        <v>21</v>
      </c>
      <c r="U1" s="133" t="s">
        <v>22</v>
      </c>
      <c r="V1" s="133" t="s">
        <v>1047</v>
      </c>
      <c r="W1" s="133" t="s">
        <v>1048</v>
      </c>
    </row>
    <row r="2" spans="1:23" s="26" customFormat="1" x14ac:dyDescent="0.35">
      <c r="A2" s="54">
        <v>1</v>
      </c>
      <c r="B2" s="99">
        <v>1</v>
      </c>
      <c r="C2" s="55" t="s">
        <v>23</v>
      </c>
      <c r="D2" s="55" t="s">
        <v>23</v>
      </c>
      <c r="E2" s="130" t="s">
        <v>34</v>
      </c>
      <c r="F2" s="54" t="s">
        <v>62</v>
      </c>
      <c r="G2" s="137">
        <f>50/1000</f>
        <v>0.05</v>
      </c>
      <c r="H2" s="58">
        <f>G2/1000</f>
        <v>5.0000000000000002E-5</v>
      </c>
      <c r="I2" s="58">
        <f>S2*1000000</f>
        <v>2.0000000000000002E-11</v>
      </c>
      <c r="J2" s="54"/>
      <c r="K2" s="58"/>
      <c r="L2" s="58"/>
      <c r="M2" s="58"/>
      <c r="N2" s="58"/>
      <c r="O2" s="58"/>
      <c r="P2" s="58"/>
      <c r="Q2" s="58"/>
      <c r="R2" s="176">
        <f>G2*POWER(10,-6)</f>
        <v>4.9999999999999998E-8</v>
      </c>
      <c r="S2" s="176">
        <f>0.02*POWER(10,-15)</f>
        <v>2.0000000000000001E-17</v>
      </c>
      <c r="T2" s="54" t="s">
        <v>35</v>
      </c>
      <c r="U2" s="54" t="s">
        <v>36</v>
      </c>
      <c r="V2" s="54" t="s">
        <v>62</v>
      </c>
      <c r="W2" s="54" t="s">
        <v>62</v>
      </c>
    </row>
    <row r="3" spans="1:23" s="26" customFormat="1" x14ac:dyDescent="0.35">
      <c r="A3" s="54">
        <v>2</v>
      </c>
      <c r="B3" s="99">
        <v>1</v>
      </c>
      <c r="C3" s="55" t="s">
        <v>23</v>
      </c>
      <c r="D3" s="55" t="s">
        <v>23</v>
      </c>
      <c r="E3" s="130" t="s">
        <v>26</v>
      </c>
      <c r="F3" s="54" t="s">
        <v>62</v>
      </c>
      <c r="G3" s="136"/>
      <c r="H3" s="135"/>
      <c r="I3" s="135"/>
      <c r="J3" s="134"/>
      <c r="K3" s="135"/>
      <c r="L3" s="135"/>
      <c r="M3" s="135"/>
      <c r="N3" s="135"/>
      <c r="O3" s="135"/>
      <c r="P3" s="135"/>
      <c r="Q3" s="135"/>
      <c r="R3" s="175"/>
      <c r="S3" s="176">
        <f>0.055*POWER(10,-15)</f>
        <v>5.5000000000000006E-17</v>
      </c>
      <c r="T3" s="54" t="s">
        <v>27</v>
      </c>
      <c r="U3" s="54" t="s">
        <v>28</v>
      </c>
      <c r="V3" s="54" t="s">
        <v>62</v>
      </c>
      <c r="W3" s="54" t="s">
        <v>62</v>
      </c>
    </row>
    <row r="4" spans="1:23" x14ac:dyDescent="0.35">
      <c r="A4" s="54">
        <v>3</v>
      </c>
      <c r="B4" s="99">
        <v>1</v>
      </c>
      <c r="C4" s="54" t="s">
        <v>23</v>
      </c>
      <c r="D4" s="54" t="s">
        <v>23</v>
      </c>
      <c r="E4" s="130" t="s">
        <v>40</v>
      </c>
      <c r="F4" s="54" t="s">
        <v>62</v>
      </c>
      <c r="G4" s="137">
        <f>180/1000</f>
        <v>0.18</v>
      </c>
      <c r="R4" s="176">
        <f>G4*POWER(10,-6)</f>
        <v>1.8E-7</v>
      </c>
      <c r="S4" s="176">
        <f>58*POWER(10,6)*1.66054*POWER(10,-24)</f>
        <v>9.6311320000000015E-17</v>
      </c>
      <c r="T4" s="54" t="s">
        <v>41</v>
      </c>
      <c r="U4" s="54" t="s">
        <v>1554</v>
      </c>
      <c r="V4" s="54" t="s">
        <v>62</v>
      </c>
      <c r="W4" s="54" t="s">
        <v>1553</v>
      </c>
    </row>
    <row r="5" spans="1:23" x14ac:dyDescent="0.35">
      <c r="A5" s="54">
        <v>4</v>
      </c>
      <c r="B5" s="99">
        <v>1</v>
      </c>
      <c r="C5" s="55" t="s">
        <v>23</v>
      </c>
      <c r="D5" s="55" t="s">
        <v>23</v>
      </c>
      <c r="E5" s="130" t="s">
        <v>62</v>
      </c>
      <c r="F5" s="54" t="s">
        <v>62</v>
      </c>
      <c r="G5" s="136"/>
      <c r="H5" s="135"/>
      <c r="I5" s="135"/>
      <c r="J5" s="134"/>
      <c r="K5" s="135"/>
      <c r="L5" s="135"/>
      <c r="M5" s="135"/>
      <c r="N5" s="135"/>
      <c r="O5" s="135"/>
      <c r="P5" s="135"/>
      <c r="Q5" s="135"/>
      <c r="R5" s="175"/>
      <c r="S5" s="176">
        <f>0.2*POWER(10,-15)</f>
        <v>2.0000000000000002E-16</v>
      </c>
      <c r="T5" s="54" t="s">
        <v>24</v>
      </c>
      <c r="U5" s="54" t="s">
        <v>25</v>
      </c>
      <c r="V5" s="54" t="s">
        <v>62</v>
      </c>
      <c r="W5" s="54" t="s">
        <v>62</v>
      </c>
    </row>
    <row r="6" spans="1:23" x14ac:dyDescent="0.35">
      <c r="A6" s="54">
        <v>5</v>
      </c>
      <c r="B6" s="99">
        <v>1</v>
      </c>
      <c r="C6" s="54" t="s">
        <v>23</v>
      </c>
      <c r="D6" s="54" t="s">
        <v>23</v>
      </c>
      <c r="E6" s="130" t="s">
        <v>42</v>
      </c>
      <c r="F6" s="54" t="s">
        <v>62</v>
      </c>
      <c r="G6" s="137">
        <f>195/1000</f>
        <v>0.19500000000000001</v>
      </c>
      <c r="R6" s="176">
        <f t="shared" ref="R6:R12" si="0">G6*POWER(10,-6)</f>
        <v>1.9499999999999999E-7</v>
      </c>
      <c r="S6" s="176">
        <f>325*POWER(10,6)*1.66054*POWER(10,-24)</f>
        <v>5.3967550000000005E-16</v>
      </c>
      <c r="T6" s="54" t="s">
        <v>43</v>
      </c>
      <c r="U6" s="54" t="s">
        <v>44</v>
      </c>
      <c r="V6" s="54" t="s">
        <v>62</v>
      </c>
      <c r="W6" s="54" t="s">
        <v>1553</v>
      </c>
    </row>
    <row r="7" spans="1:23" x14ac:dyDescent="0.35">
      <c r="A7" s="54">
        <v>6</v>
      </c>
      <c r="B7" s="99">
        <v>1</v>
      </c>
      <c r="C7" s="55" t="s">
        <v>23</v>
      </c>
      <c r="D7" s="55" t="s">
        <v>23</v>
      </c>
      <c r="E7" s="130" t="s">
        <v>37</v>
      </c>
      <c r="F7" s="54" t="s">
        <v>62</v>
      </c>
      <c r="G7" s="137">
        <v>0.1</v>
      </c>
      <c r="H7" s="58">
        <f>G7/1000</f>
        <v>1E-4</v>
      </c>
      <c r="I7" s="58">
        <f>S7*1000000</f>
        <v>1.0000000000000001E-9</v>
      </c>
      <c r="R7" s="176">
        <f t="shared" si="0"/>
        <v>9.9999999999999995E-8</v>
      </c>
      <c r="S7" s="176">
        <v>1.0000000000000001E-15</v>
      </c>
      <c r="T7" s="54" t="s">
        <v>38</v>
      </c>
      <c r="U7" s="54" t="s">
        <v>39</v>
      </c>
      <c r="V7" s="54" t="s">
        <v>62</v>
      </c>
      <c r="W7" s="54" t="s">
        <v>62</v>
      </c>
    </row>
    <row r="8" spans="1:23" x14ac:dyDescent="0.35">
      <c r="A8" s="54">
        <v>7</v>
      </c>
      <c r="B8" s="99">
        <v>1</v>
      </c>
      <c r="C8" s="55" t="s">
        <v>23</v>
      </c>
      <c r="D8" s="55" t="s">
        <v>23</v>
      </c>
      <c r="E8" s="130" t="s">
        <v>29</v>
      </c>
      <c r="F8" s="54" t="s">
        <v>62</v>
      </c>
      <c r="G8" s="137">
        <f>16/1000</f>
        <v>1.6E-2</v>
      </c>
      <c r="R8" s="176">
        <f t="shared" si="0"/>
        <v>1.6000000000000001E-8</v>
      </c>
      <c r="S8" s="176"/>
      <c r="T8" s="54" t="s">
        <v>30</v>
      </c>
      <c r="U8" s="54" t="s">
        <v>31</v>
      </c>
      <c r="V8" s="54" t="s">
        <v>62</v>
      </c>
      <c r="W8" s="54" t="s">
        <v>62</v>
      </c>
    </row>
    <row r="9" spans="1:23" x14ac:dyDescent="0.35">
      <c r="A9" s="54">
        <v>8</v>
      </c>
      <c r="B9" s="99">
        <v>1</v>
      </c>
      <c r="C9" s="55" t="s">
        <v>23</v>
      </c>
      <c r="D9" s="55" t="s">
        <v>23</v>
      </c>
      <c r="E9" s="130" t="s">
        <v>29</v>
      </c>
      <c r="F9" s="54" t="s">
        <v>62</v>
      </c>
      <c r="G9" s="137">
        <v>1.7000000000000001E-2</v>
      </c>
      <c r="R9" s="176">
        <f t="shared" si="0"/>
        <v>1.7E-8</v>
      </c>
      <c r="S9" s="176"/>
      <c r="T9" s="54" t="s">
        <v>32</v>
      </c>
      <c r="U9" s="54" t="s">
        <v>33</v>
      </c>
      <c r="V9" s="54" t="s">
        <v>62</v>
      </c>
      <c r="W9" s="54" t="s">
        <v>62</v>
      </c>
    </row>
    <row r="10" spans="1:23" x14ac:dyDescent="0.35">
      <c r="A10" s="54">
        <v>9</v>
      </c>
      <c r="B10" s="99">
        <v>1</v>
      </c>
      <c r="C10" s="55" t="s">
        <v>23</v>
      </c>
      <c r="D10" s="55" t="s">
        <v>23</v>
      </c>
      <c r="E10" s="130" t="s">
        <v>51</v>
      </c>
      <c r="F10" s="54" t="s">
        <v>62</v>
      </c>
      <c r="G10" s="137">
        <f>82/1000</f>
        <v>8.2000000000000003E-2</v>
      </c>
      <c r="Q10" s="58">
        <f>99*POWER(10,6)*1.6605*POWER(10,-24)</f>
        <v>1.6438950000000001E-16</v>
      </c>
      <c r="R10" s="176">
        <f t="shared" si="0"/>
        <v>8.1999999999999993E-8</v>
      </c>
      <c r="S10" s="176"/>
      <c r="T10" s="54" t="s">
        <v>52</v>
      </c>
      <c r="U10" s="54" t="s">
        <v>1043</v>
      </c>
      <c r="V10" s="54" t="s">
        <v>62</v>
      </c>
      <c r="W10" s="54" t="s">
        <v>62</v>
      </c>
    </row>
    <row r="11" spans="1:23" x14ac:dyDescent="0.35">
      <c r="A11" s="54">
        <v>10</v>
      </c>
      <c r="B11" s="99">
        <v>1</v>
      </c>
      <c r="C11" s="55" t="s">
        <v>23</v>
      </c>
      <c r="D11" s="55" t="s">
        <v>23</v>
      </c>
      <c r="E11" s="130" t="s">
        <v>45</v>
      </c>
      <c r="F11" s="54" t="s">
        <v>62</v>
      </c>
      <c r="G11" s="137">
        <f>300/1000</f>
        <v>0.3</v>
      </c>
      <c r="R11" s="176">
        <f t="shared" si="0"/>
        <v>2.9999999999999999E-7</v>
      </c>
      <c r="S11" s="176"/>
      <c r="T11" s="54" t="s">
        <v>30</v>
      </c>
      <c r="U11" s="54" t="s">
        <v>46</v>
      </c>
      <c r="V11" s="54" t="s">
        <v>62</v>
      </c>
      <c r="W11" s="54" t="s">
        <v>62</v>
      </c>
    </row>
    <row r="12" spans="1:23" x14ac:dyDescent="0.35">
      <c r="A12" s="54">
        <v>11</v>
      </c>
      <c r="B12" s="99">
        <v>1</v>
      </c>
      <c r="C12" s="54" t="s">
        <v>23</v>
      </c>
      <c r="D12" s="54" t="s">
        <v>23</v>
      </c>
      <c r="E12" s="130" t="s">
        <v>47</v>
      </c>
      <c r="F12" s="54" t="s">
        <v>62</v>
      </c>
      <c r="G12" s="137">
        <f>400/1000</f>
        <v>0.4</v>
      </c>
      <c r="R12" s="176">
        <f t="shared" si="0"/>
        <v>3.9999999999999998E-7</v>
      </c>
      <c r="S12" s="176"/>
      <c r="T12" s="54" t="s">
        <v>48</v>
      </c>
      <c r="V12" s="54" t="s">
        <v>62</v>
      </c>
      <c r="W12" s="54" t="s">
        <v>62</v>
      </c>
    </row>
    <row r="13" spans="1:23" x14ac:dyDescent="0.35">
      <c r="A13" s="54">
        <v>12</v>
      </c>
      <c r="B13" s="99">
        <v>1</v>
      </c>
      <c r="C13" s="55" t="s">
        <v>23</v>
      </c>
      <c r="D13" s="55" t="s">
        <v>23</v>
      </c>
      <c r="E13" s="130" t="s">
        <v>1552</v>
      </c>
      <c r="F13" s="54" t="s">
        <v>62</v>
      </c>
      <c r="L13" s="58">
        <f>N13*1000000</f>
        <v>1.0000000000000001E-9</v>
      </c>
      <c r="M13" s="58">
        <f>N13*1000</f>
        <v>9.9999999999999998E-13</v>
      </c>
      <c r="N13" s="58">
        <v>1.0000000000000001E-15</v>
      </c>
      <c r="R13" s="176"/>
      <c r="S13" s="176"/>
      <c r="T13" s="54" t="s">
        <v>49</v>
      </c>
      <c r="U13" s="54" t="s">
        <v>50</v>
      </c>
      <c r="V13" s="54" t="s">
        <v>62</v>
      </c>
      <c r="W13" s="54" t="s">
        <v>62</v>
      </c>
    </row>
    <row r="14" spans="1:23" x14ac:dyDescent="0.35">
      <c r="A14" s="54">
        <v>13</v>
      </c>
      <c r="B14" s="99">
        <v>1</v>
      </c>
      <c r="C14" s="55" t="s">
        <v>23</v>
      </c>
      <c r="D14" s="55" t="s">
        <v>704</v>
      </c>
      <c r="E14" s="130" t="s">
        <v>705</v>
      </c>
      <c r="F14" s="54" t="s">
        <v>62</v>
      </c>
      <c r="J14" s="54">
        <f>8.2*POWER(10,3)/1000000000</f>
        <v>8.1999999999999994E-6</v>
      </c>
      <c r="K14" s="58">
        <f>J14/POWER(10,6)</f>
        <v>8.1999999999999998E-12</v>
      </c>
      <c r="R14" s="176"/>
      <c r="S14" s="176"/>
      <c r="T14" s="54" t="s">
        <v>711</v>
      </c>
      <c r="U14" s="54" t="s">
        <v>707</v>
      </c>
      <c r="V14" s="54" t="s">
        <v>62</v>
      </c>
      <c r="W14" s="54" t="s">
        <v>62</v>
      </c>
    </row>
    <row r="15" spans="1:23" x14ac:dyDescent="0.35">
      <c r="A15" s="54">
        <v>14</v>
      </c>
      <c r="B15" s="99">
        <v>1</v>
      </c>
      <c r="C15" s="55" t="s">
        <v>23</v>
      </c>
      <c r="D15" s="55" t="s">
        <v>704</v>
      </c>
      <c r="E15" s="130" t="s">
        <v>706</v>
      </c>
      <c r="F15" s="54" t="s">
        <v>62</v>
      </c>
      <c r="J15" s="54">
        <f>7.5*POWER(10,7)/1000000000</f>
        <v>7.4999999999999997E-2</v>
      </c>
      <c r="K15" s="58">
        <f>J15/POWER(10,6)</f>
        <v>7.4999999999999997E-8</v>
      </c>
      <c r="R15" s="176"/>
      <c r="S15" s="176"/>
      <c r="T15" s="54" t="s">
        <v>711</v>
      </c>
      <c r="U15" s="54" t="s">
        <v>708</v>
      </c>
      <c r="V15" s="54" t="s">
        <v>62</v>
      </c>
      <c r="W15" s="54" t="s">
        <v>62</v>
      </c>
    </row>
    <row r="16" spans="1:23" s="1" customFormat="1" x14ac:dyDescent="0.35">
      <c r="A16" s="54">
        <v>15</v>
      </c>
      <c r="B16" s="99">
        <v>2</v>
      </c>
      <c r="C16" s="54" t="s">
        <v>53</v>
      </c>
      <c r="D16" s="55" t="s">
        <v>54</v>
      </c>
      <c r="E16" s="130" t="s">
        <v>76</v>
      </c>
      <c r="F16" s="54" t="s">
        <v>1412</v>
      </c>
      <c r="G16" s="137"/>
      <c r="H16" s="58"/>
      <c r="I16" s="58">
        <f>O16/2</f>
        <v>1.5E-9</v>
      </c>
      <c r="J16" s="54"/>
      <c r="K16" s="58"/>
      <c r="L16" s="58"/>
      <c r="M16" s="58"/>
      <c r="N16" s="58"/>
      <c r="O16" s="58">
        <f>V16/POWER(10,9)</f>
        <v>3E-9</v>
      </c>
      <c r="P16" s="58"/>
      <c r="Q16" s="58">
        <f>O16/POWER(10,6)</f>
        <v>2.9999999999999998E-15</v>
      </c>
      <c r="R16" s="176"/>
      <c r="S16" s="176">
        <f>Q16/2</f>
        <v>1.4999999999999999E-15</v>
      </c>
      <c r="T16" s="54" t="s">
        <v>77</v>
      </c>
      <c r="U16" s="54" t="s">
        <v>78</v>
      </c>
      <c r="V16" s="54">
        <v>3</v>
      </c>
      <c r="W16" s="54" t="s">
        <v>62</v>
      </c>
    </row>
    <row r="17" spans="1:23" x14ac:dyDescent="0.35">
      <c r="A17" s="54">
        <v>16</v>
      </c>
      <c r="B17" s="99">
        <v>2</v>
      </c>
      <c r="C17" s="54" t="s">
        <v>53</v>
      </c>
      <c r="D17" s="54" t="s">
        <v>59</v>
      </c>
      <c r="E17" s="130" t="s">
        <v>90</v>
      </c>
      <c r="F17" s="54" t="s">
        <v>62</v>
      </c>
      <c r="I17" s="58">
        <f>S17*1000000</f>
        <v>5.0000000000000009E-9</v>
      </c>
      <c r="R17" s="176"/>
      <c r="S17" s="176">
        <f>5*0.000000000000001</f>
        <v>5.0000000000000008E-15</v>
      </c>
      <c r="T17" s="54" t="s">
        <v>91</v>
      </c>
      <c r="V17" s="54" t="s">
        <v>62</v>
      </c>
      <c r="W17" s="54" t="s">
        <v>62</v>
      </c>
    </row>
    <row r="18" spans="1:23" x14ac:dyDescent="0.35">
      <c r="A18" s="54">
        <v>519</v>
      </c>
      <c r="B18" s="99">
        <v>2</v>
      </c>
      <c r="C18" s="54" t="s">
        <v>53</v>
      </c>
      <c r="D18" s="55" t="s">
        <v>53</v>
      </c>
      <c r="E18" s="54" t="s">
        <v>1473</v>
      </c>
      <c r="F18" s="54" t="s">
        <v>62</v>
      </c>
      <c r="G18" s="99"/>
      <c r="J18" s="54">
        <v>0.21</v>
      </c>
      <c r="K18" s="58">
        <f>J18/POWER(10,6)</f>
        <v>2.1E-7</v>
      </c>
      <c r="Q18" s="55">
        <f>V18/POWER(10,15)</f>
        <v>2.2000000000000001E-14</v>
      </c>
      <c r="R18" s="176"/>
      <c r="S18" s="176">
        <f>W18/POWER(10,15)</f>
        <v>7.0000000000000001E-15</v>
      </c>
      <c r="T18" s="54" t="s">
        <v>74</v>
      </c>
      <c r="U18" s="54" t="s">
        <v>237</v>
      </c>
      <c r="V18" s="54">
        <v>22</v>
      </c>
      <c r="W18" s="54">
        <v>7</v>
      </c>
    </row>
    <row r="19" spans="1:23" x14ac:dyDescent="0.35">
      <c r="A19" s="54">
        <v>520</v>
      </c>
      <c r="B19" s="99">
        <v>2</v>
      </c>
      <c r="C19" s="54" t="s">
        <v>53</v>
      </c>
      <c r="D19" s="55" t="s">
        <v>53</v>
      </c>
      <c r="E19" s="54" t="s">
        <v>1470</v>
      </c>
      <c r="F19" s="54" t="s">
        <v>62</v>
      </c>
      <c r="G19" s="99"/>
      <c r="J19" s="54">
        <v>0.11</v>
      </c>
      <c r="K19" s="58">
        <f>J19/POWER(10,6)</f>
        <v>1.1000000000000001E-7</v>
      </c>
      <c r="Q19" s="55">
        <f>V19/POWER(10,15)</f>
        <v>2.0999999999999999E-14</v>
      </c>
      <c r="R19" s="176"/>
      <c r="S19" s="176">
        <f>W19/POWER(10,15)</f>
        <v>8.9999999999999995E-15</v>
      </c>
      <c r="T19" s="54" t="s">
        <v>74</v>
      </c>
      <c r="U19" s="54" t="s">
        <v>237</v>
      </c>
      <c r="V19" s="54">
        <v>21</v>
      </c>
      <c r="W19" s="54">
        <v>9</v>
      </c>
    </row>
    <row r="20" spans="1:23" x14ac:dyDescent="0.35">
      <c r="A20" s="54">
        <v>19</v>
      </c>
      <c r="B20" s="99">
        <v>2</v>
      </c>
      <c r="C20" s="54" t="s">
        <v>53</v>
      </c>
      <c r="D20" s="54" t="s">
        <v>59</v>
      </c>
      <c r="E20" s="130" t="s">
        <v>93</v>
      </c>
      <c r="F20" s="54" t="s">
        <v>62</v>
      </c>
      <c r="I20" s="58">
        <f>S20*POWER(10,6)</f>
        <v>1E-8</v>
      </c>
      <c r="R20" s="176"/>
      <c r="S20" s="176">
        <f>V20/POWER(10,15)</f>
        <v>1E-14</v>
      </c>
      <c r="T20" s="54" t="s">
        <v>91</v>
      </c>
      <c r="U20" s="54" t="s">
        <v>1480</v>
      </c>
      <c r="V20" s="54">
        <v>10</v>
      </c>
    </row>
    <row r="21" spans="1:23" s="1" customFormat="1" x14ac:dyDescent="0.35">
      <c r="A21" s="54">
        <v>20</v>
      </c>
      <c r="B21" s="99">
        <v>2</v>
      </c>
      <c r="C21" s="54" t="s">
        <v>53</v>
      </c>
      <c r="D21" s="54" t="s">
        <v>59</v>
      </c>
      <c r="E21" s="130" t="s">
        <v>62</v>
      </c>
      <c r="F21" s="54" t="s">
        <v>62</v>
      </c>
      <c r="G21" s="137"/>
      <c r="H21" s="58"/>
      <c r="I21" s="58">
        <f>10.4/POWER(10,9)</f>
        <v>1.04E-8</v>
      </c>
      <c r="J21" s="54">
        <v>2.5999999999999999E-2</v>
      </c>
      <c r="K21" s="58">
        <f>J21/POWER(10,6)</f>
        <v>2.5999999999999998E-8</v>
      </c>
      <c r="L21" s="58"/>
      <c r="M21" s="58"/>
      <c r="N21" s="58"/>
      <c r="O21" s="58">
        <f>19.7/POWER(10,9)</f>
        <v>1.9699999999999998E-8</v>
      </c>
      <c r="P21" s="58"/>
      <c r="Q21" s="58">
        <f>O21/POWER(10,6)</f>
        <v>1.9699999999999997E-14</v>
      </c>
      <c r="R21" s="176"/>
      <c r="S21" s="176">
        <f>I21/POWER(10,6)</f>
        <v>1.04E-14</v>
      </c>
      <c r="T21" s="54" t="s">
        <v>84</v>
      </c>
      <c r="U21" s="54" t="s">
        <v>85</v>
      </c>
      <c r="V21" s="54">
        <v>9.9</v>
      </c>
      <c r="W21" s="54" t="s">
        <v>62</v>
      </c>
    </row>
    <row r="22" spans="1:23" s="1" customFormat="1" x14ac:dyDescent="0.35">
      <c r="A22" s="54">
        <v>21</v>
      </c>
      <c r="B22" s="99">
        <v>2</v>
      </c>
      <c r="C22" s="54" t="s">
        <v>53</v>
      </c>
      <c r="D22" s="54" t="s">
        <v>59</v>
      </c>
      <c r="E22" s="130" t="s">
        <v>82</v>
      </c>
      <c r="F22" s="54" t="s">
        <v>62</v>
      </c>
      <c r="G22" s="137"/>
      <c r="H22" s="58"/>
      <c r="I22" s="58">
        <f>S22*1000000</f>
        <v>1.1000000000000001E-8</v>
      </c>
      <c r="J22" s="54"/>
      <c r="K22" s="58"/>
      <c r="L22" s="58"/>
      <c r="M22" s="58"/>
      <c r="N22" s="58"/>
      <c r="O22" s="58"/>
      <c r="P22" s="58"/>
      <c r="Q22" s="58"/>
      <c r="R22" s="176"/>
      <c r="S22" s="176">
        <f>11*POWER(10,-15)</f>
        <v>1.1E-14</v>
      </c>
      <c r="T22" s="54" t="s">
        <v>35</v>
      </c>
      <c r="U22" s="54" t="s">
        <v>83</v>
      </c>
      <c r="V22" s="50" t="s">
        <v>62</v>
      </c>
      <c r="W22" s="54" t="s">
        <v>62</v>
      </c>
    </row>
    <row r="23" spans="1:23" s="1" customFormat="1" x14ac:dyDescent="0.35">
      <c r="A23" s="54">
        <v>521</v>
      </c>
      <c r="B23" s="99">
        <v>2</v>
      </c>
      <c r="C23" s="54" t="s">
        <v>53</v>
      </c>
      <c r="D23" s="55" t="s">
        <v>53</v>
      </c>
      <c r="E23" s="54" t="s">
        <v>1472</v>
      </c>
      <c r="F23" s="54" t="s">
        <v>62</v>
      </c>
      <c r="G23" s="99"/>
      <c r="H23" s="58"/>
      <c r="I23" s="58"/>
      <c r="J23" s="54">
        <v>0.2</v>
      </c>
      <c r="K23" s="58">
        <f>J23/POWER(10,6)</f>
        <v>2.0000000000000002E-7</v>
      </c>
      <c r="L23" s="58"/>
      <c r="M23" s="58"/>
      <c r="N23" s="58"/>
      <c r="O23" s="58"/>
      <c r="P23" s="58"/>
      <c r="Q23" s="55">
        <f>V23/POWER(10,15)</f>
        <v>2.6E-14</v>
      </c>
      <c r="R23" s="176"/>
      <c r="S23" s="176">
        <f>W23/POWER(10,15)</f>
        <v>1.1999999999999999E-14</v>
      </c>
      <c r="T23" s="54" t="s">
        <v>74</v>
      </c>
      <c r="U23" s="54" t="s">
        <v>237</v>
      </c>
      <c r="V23" s="54">
        <v>26</v>
      </c>
      <c r="W23" s="54">
        <v>12</v>
      </c>
    </row>
    <row r="24" spans="1:23" s="1" customFormat="1" x14ac:dyDescent="0.35">
      <c r="A24" s="54">
        <v>522</v>
      </c>
      <c r="B24" s="99">
        <v>2</v>
      </c>
      <c r="C24" s="54" t="s">
        <v>53</v>
      </c>
      <c r="D24" s="55" t="s">
        <v>53</v>
      </c>
      <c r="E24" s="54" t="s">
        <v>1471</v>
      </c>
      <c r="F24" s="54" t="s">
        <v>62</v>
      </c>
      <c r="G24" s="99"/>
      <c r="H24" s="58"/>
      <c r="I24" s="58"/>
      <c r="J24" s="54">
        <v>0.28000000000000003</v>
      </c>
      <c r="K24" s="58">
        <f>J24/POWER(10,6)</f>
        <v>2.8000000000000002E-7</v>
      </c>
      <c r="L24" s="58"/>
      <c r="M24" s="58"/>
      <c r="N24" s="58"/>
      <c r="O24" s="58"/>
      <c r="P24" s="58"/>
      <c r="Q24" s="55">
        <f>V24/POWER(10,15)</f>
        <v>3.7E-14</v>
      </c>
      <c r="R24" s="176"/>
      <c r="S24" s="176">
        <f>W24/POWER(10,15)</f>
        <v>1.9000000000000001E-14</v>
      </c>
      <c r="T24" s="54" t="s">
        <v>74</v>
      </c>
      <c r="U24" s="54" t="s">
        <v>237</v>
      </c>
      <c r="V24" s="54">
        <v>37</v>
      </c>
      <c r="W24" s="54">
        <v>19</v>
      </c>
    </row>
    <row r="25" spans="1:23" s="1" customFormat="1" x14ac:dyDescent="0.35">
      <c r="A25" s="54">
        <v>24</v>
      </c>
      <c r="B25" s="99">
        <v>2</v>
      </c>
      <c r="C25" s="54" t="s">
        <v>53</v>
      </c>
      <c r="D25" s="54" t="s">
        <v>59</v>
      </c>
      <c r="E25" s="130" t="s">
        <v>92</v>
      </c>
      <c r="F25" s="54" t="s">
        <v>62</v>
      </c>
      <c r="G25" s="137"/>
      <c r="H25" s="58"/>
      <c r="I25" s="58">
        <f>S25*POWER(10,6)</f>
        <v>2E-8</v>
      </c>
      <c r="J25" s="54"/>
      <c r="K25" s="58"/>
      <c r="L25" s="58"/>
      <c r="M25" s="58"/>
      <c r="N25" s="58"/>
      <c r="O25" s="58"/>
      <c r="P25" s="58"/>
      <c r="Q25" s="58"/>
      <c r="R25" s="176"/>
      <c r="S25" s="176">
        <f>V25/POWER(10,15)</f>
        <v>2E-14</v>
      </c>
      <c r="T25" s="54" t="s">
        <v>91</v>
      </c>
      <c r="U25" s="54" t="s">
        <v>1481</v>
      </c>
      <c r="V25" s="54">
        <v>20</v>
      </c>
      <c r="W25" s="54" t="s">
        <v>62</v>
      </c>
    </row>
    <row r="26" spans="1:23" s="1" customFormat="1" x14ac:dyDescent="0.35">
      <c r="A26" s="54">
        <v>25</v>
      </c>
      <c r="B26" s="99">
        <v>2</v>
      </c>
      <c r="C26" s="54" t="s">
        <v>53</v>
      </c>
      <c r="D26" s="54" t="s">
        <v>59</v>
      </c>
      <c r="E26" s="130" t="s">
        <v>94</v>
      </c>
      <c r="F26" s="54" t="s">
        <v>62</v>
      </c>
      <c r="G26" s="137"/>
      <c r="H26" s="58"/>
      <c r="I26" s="58">
        <f>S26*POWER(10,6)</f>
        <v>2E-8</v>
      </c>
      <c r="J26" s="54"/>
      <c r="K26" s="58"/>
      <c r="L26" s="58"/>
      <c r="M26" s="58"/>
      <c r="N26" s="58"/>
      <c r="O26" s="58"/>
      <c r="P26" s="58"/>
      <c r="Q26" s="58"/>
      <c r="R26" s="176"/>
      <c r="S26" s="176">
        <f>V26/POWER(10,15)</f>
        <v>2E-14</v>
      </c>
      <c r="T26" s="54" t="s">
        <v>91</v>
      </c>
      <c r="U26" s="54" t="s">
        <v>1481</v>
      </c>
      <c r="V26" s="54">
        <v>20</v>
      </c>
      <c r="W26" s="54" t="s">
        <v>62</v>
      </c>
    </row>
    <row r="27" spans="1:23" s="1" customFormat="1" x14ac:dyDescent="0.35">
      <c r="A27" s="54">
        <v>22</v>
      </c>
      <c r="B27" s="99">
        <v>2</v>
      </c>
      <c r="C27" s="54" t="s">
        <v>53</v>
      </c>
      <c r="D27" s="54" t="s">
        <v>59</v>
      </c>
      <c r="E27" s="130" t="s">
        <v>60</v>
      </c>
      <c r="F27" s="54" t="s">
        <v>62</v>
      </c>
      <c r="G27" s="137" t="s">
        <v>61</v>
      </c>
      <c r="H27" s="58"/>
      <c r="I27" s="58"/>
      <c r="J27" s="55">
        <v>0.2</v>
      </c>
      <c r="K27" s="58">
        <f>J27/POWER(10,6)</f>
        <v>2.0000000000000002E-7</v>
      </c>
      <c r="L27" s="58"/>
      <c r="M27" s="58"/>
      <c r="N27" s="58"/>
      <c r="O27" s="58"/>
      <c r="P27" s="58"/>
      <c r="Q27" s="58"/>
      <c r="R27" s="176">
        <f>0.72*POWER(10,-6)</f>
        <v>7.1999999999999999E-7</v>
      </c>
      <c r="S27" s="176">
        <f>20*0.000000000000001</f>
        <v>2.0000000000000003E-14</v>
      </c>
      <c r="T27" s="54" t="s">
        <v>63</v>
      </c>
      <c r="U27" s="54" t="s">
        <v>64</v>
      </c>
      <c r="V27" s="50" t="s">
        <v>62</v>
      </c>
      <c r="W27" s="54" t="s">
        <v>62</v>
      </c>
    </row>
    <row r="28" spans="1:23" s="1" customFormat="1" x14ac:dyDescent="0.35">
      <c r="A28" s="54">
        <v>23</v>
      </c>
      <c r="B28" s="99">
        <v>2</v>
      </c>
      <c r="C28" s="54" t="s">
        <v>53</v>
      </c>
      <c r="D28" s="54" t="s">
        <v>59</v>
      </c>
      <c r="E28" s="130" t="s">
        <v>86</v>
      </c>
      <c r="F28" s="54" t="s">
        <v>62</v>
      </c>
      <c r="G28" s="137"/>
      <c r="H28" s="58"/>
      <c r="I28" s="58">
        <f>S28*1000000</f>
        <v>2.0000000000000004E-8</v>
      </c>
      <c r="J28" s="54"/>
      <c r="K28" s="58"/>
      <c r="L28" s="58"/>
      <c r="M28" s="58"/>
      <c r="N28" s="58"/>
      <c r="O28" s="58"/>
      <c r="P28" s="58"/>
      <c r="Q28" s="58"/>
      <c r="R28" s="176"/>
      <c r="S28" s="176">
        <f>20*0.000000000000001</f>
        <v>2.0000000000000003E-14</v>
      </c>
      <c r="T28" s="54" t="s">
        <v>87</v>
      </c>
      <c r="U28" s="54"/>
      <c r="V28" s="50" t="s">
        <v>62</v>
      </c>
      <c r="W28" s="54" t="s">
        <v>62</v>
      </c>
    </row>
    <row r="29" spans="1:23" s="1" customFormat="1" x14ac:dyDescent="0.35">
      <c r="A29" s="54">
        <v>523</v>
      </c>
      <c r="B29" s="99">
        <v>2</v>
      </c>
      <c r="C29" s="54" t="s">
        <v>53</v>
      </c>
      <c r="D29" s="55" t="s">
        <v>53</v>
      </c>
      <c r="E29" s="54" t="s">
        <v>1475</v>
      </c>
      <c r="F29" s="54" t="s">
        <v>62</v>
      </c>
      <c r="G29" s="99"/>
      <c r="H29" s="58"/>
      <c r="I29" s="58"/>
      <c r="J29" s="54">
        <v>0.41</v>
      </c>
      <c r="K29" s="58">
        <f>J29/POWER(10,6)</f>
        <v>4.0999999999999999E-7</v>
      </c>
      <c r="L29" s="58"/>
      <c r="M29" s="58"/>
      <c r="N29" s="58"/>
      <c r="O29" s="58"/>
      <c r="P29" s="58"/>
      <c r="Q29" s="55">
        <f>V29/POWER(10,15)</f>
        <v>3.8999999999999998E-14</v>
      </c>
      <c r="R29" s="176"/>
      <c r="S29" s="176">
        <f>W29/POWER(10,15)</f>
        <v>2.0999999999999999E-14</v>
      </c>
      <c r="T29" s="54" t="s">
        <v>74</v>
      </c>
      <c r="U29" s="54" t="s">
        <v>237</v>
      </c>
      <c r="V29" s="54">
        <v>39</v>
      </c>
      <c r="W29" s="54">
        <v>21</v>
      </c>
    </row>
    <row r="30" spans="1:23" s="1" customFormat="1" x14ac:dyDescent="0.35">
      <c r="A30" s="54">
        <v>524</v>
      </c>
      <c r="B30" s="99">
        <v>2</v>
      </c>
      <c r="C30" s="54" t="s">
        <v>53</v>
      </c>
      <c r="D30" s="55" t="s">
        <v>53</v>
      </c>
      <c r="E30" s="54" t="s">
        <v>1474</v>
      </c>
      <c r="F30" s="54" t="s">
        <v>62</v>
      </c>
      <c r="G30" s="99"/>
      <c r="H30" s="58"/>
      <c r="I30" s="58"/>
      <c r="J30" s="54">
        <v>0.31</v>
      </c>
      <c r="K30" s="58">
        <f>J30/POWER(10,6)</f>
        <v>3.1E-7</v>
      </c>
      <c r="L30" s="58"/>
      <c r="M30" s="58"/>
      <c r="N30" s="58"/>
      <c r="O30" s="58"/>
      <c r="P30" s="58"/>
      <c r="Q30" s="55">
        <f>V30/POWER(10,15)</f>
        <v>5.9999999999999997E-14</v>
      </c>
      <c r="R30" s="176"/>
      <c r="S30" s="176">
        <f>W30/POWER(10,15)</f>
        <v>3.1E-14</v>
      </c>
      <c r="T30" s="54" t="s">
        <v>74</v>
      </c>
      <c r="U30" s="54" t="s">
        <v>237</v>
      </c>
      <c r="V30" s="54">
        <v>60</v>
      </c>
      <c r="W30" s="54">
        <v>31</v>
      </c>
    </row>
    <row r="31" spans="1:23" s="1" customFormat="1" x14ac:dyDescent="0.35">
      <c r="A31" s="54">
        <v>26</v>
      </c>
      <c r="B31" s="99">
        <v>2</v>
      </c>
      <c r="C31" s="54" t="s">
        <v>53</v>
      </c>
      <c r="D31" s="54" t="s">
        <v>59</v>
      </c>
      <c r="E31" s="130" t="s">
        <v>62</v>
      </c>
      <c r="F31" s="54" t="s">
        <v>62</v>
      </c>
      <c r="G31" s="137"/>
      <c r="H31" s="58"/>
      <c r="I31" s="58">
        <f>53.3/POWER(10,9)</f>
        <v>5.3299999999999994E-8</v>
      </c>
      <c r="J31" s="54">
        <v>0.4</v>
      </c>
      <c r="K31" s="58">
        <f>J31/POWER(10,6)</f>
        <v>4.0000000000000003E-7</v>
      </c>
      <c r="L31" s="58"/>
      <c r="M31" s="58"/>
      <c r="N31" s="58"/>
      <c r="O31" s="58">
        <f>95.8/POWER(10,9)</f>
        <v>9.5799999999999998E-8</v>
      </c>
      <c r="P31" s="58"/>
      <c r="Q31" s="58">
        <f>O31/POWER(10,6)</f>
        <v>9.5799999999999993E-14</v>
      </c>
      <c r="R31" s="176"/>
      <c r="S31" s="176">
        <f>I31/POWER(10,6)</f>
        <v>5.3299999999999991E-14</v>
      </c>
      <c r="T31" s="54" t="s">
        <v>84</v>
      </c>
      <c r="U31" s="54"/>
      <c r="V31" s="50" t="s">
        <v>62</v>
      </c>
      <c r="W31" s="54" t="s">
        <v>62</v>
      </c>
    </row>
    <row r="32" spans="1:23" s="1" customFormat="1" x14ac:dyDescent="0.35">
      <c r="A32" s="54">
        <v>28</v>
      </c>
      <c r="B32" s="99">
        <v>2</v>
      </c>
      <c r="C32" s="54" t="s">
        <v>53</v>
      </c>
      <c r="D32" s="55" t="s">
        <v>53</v>
      </c>
      <c r="E32" s="130" t="s">
        <v>1477</v>
      </c>
      <c r="F32" s="54" t="s">
        <v>62</v>
      </c>
      <c r="G32" s="137"/>
      <c r="H32" s="58"/>
      <c r="I32" s="58"/>
      <c r="J32" s="54">
        <v>0.93</v>
      </c>
      <c r="K32" s="58">
        <f>J32/POWER(10,6)</f>
        <v>9.300000000000001E-7</v>
      </c>
      <c r="L32" s="58"/>
      <c r="M32" s="58"/>
      <c r="N32" s="58"/>
      <c r="O32" s="58"/>
      <c r="P32" s="58"/>
      <c r="Q32" s="55">
        <f>V32/POWER(10,15)</f>
        <v>1.4499999999999999E-13</v>
      </c>
      <c r="R32" s="176"/>
      <c r="S32" s="176">
        <f>W32/POWER(10,15)</f>
        <v>6.2000000000000001E-14</v>
      </c>
      <c r="T32" s="54" t="s">
        <v>74</v>
      </c>
      <c r="U32" s="54" t="s">
        <v>237</v>
      </c>
      <c r="V32" s="54">
        <v>145</v>
      </c>
      <c r="W32" s="50">
        <v>62</v>
      </c>
    </row>
    <row r="33" spans="1:23" s="165" customFormat="1" x14ac:dyDescent="0.35">
      <c r="A33" s="54">
        <v>18</v>
      </c>
      <c r="B33" s="99">
        <v>2</v>
      </c>
      <c r="C33" s="54" t="s">
        <v>53</v>
      </c>
      <c r="D33" s="55" t="s">
        <v>53</v>
      </c>
      <c r="E33" s="130" t="s">
        <v>1479</v>
      </c>
      <c r="F33" s="54" t="s">
        <v>62</v>
      </c>
      <c r="G33" s="137"/>
      <c r="H33" s="58"/>
      <c r="I33" s="58"/>
      <c r="J33" s="54">
        <v>0.7</v>
      </c>
      <c r="K33" s="58">
        <f>J33/POWER(10,6)</f>
        <v>6.9999999999999997E-7</v>
      </c>
      <c r="L33" s="58"/>
      <c r="M33" s="58"/>
      <c r="N33" s="58"/>
      <c r="O33" s="58"/>
      <c r="P33" s="58"/>
      <c r="Q33" s="55">
        <f>V33/POWER(10,15)</f>
        <v>1.7999999999999999E-13</v>
      </c>
      <c r="R33" s="176"/>
      <c r="S33" s="176">
        <f>W33/POWER(10,15)</f>
        <v>1.1E-13</v>
      </c>
      <c r="T33" s="54" t="s">
        <v>74</v>
      </c>
      <c r="U33" s="54" t="s">
        <v>237</v>
      </c>
      <c r="V33" s="54">
        <v>180</v>
      </c>
      <c r="W33" s="54">
        <v>110</v>
      </c>
    </row>
    <row r="34" spans="1:23" s="165" customFormat="1" x14ac:dyDescent="0.35">
      <c r="A34" s="54">
        <v>27</v>
      </c>
      <c r="B34" s="99">
        <v>2</v>
      </c>
      <c r="C34" s="54" t="s">
        <v>53</v>
      </c>
      <c r="D34" s="55" t="s">
        <v>54</v>
      </c>
      <c r="E34" s="130" t="s">
        <v>72</v>
      </c>
      <c r="F34" s="54" t="s">
        <v>1412</v>
      </c>
      <c r="G34" s="137"/>
      <c r="H34" s="58"/>
      <c r="I34" s="58">
        <f>S34*1000000</f>
        <v>1.5000000000000002E-7</v>
      </c>
      <c r="J34" s="54"/>
      <c r="K34" s="58"/>
      <c r="L34" s="58"/>
      <c r="M34" s="58"/>
      <c r="N34" s="58"/>
      <c r="O34" s="58"/>
      <c r="P34" s="58"/>
      <c r="Q34" s="58"/>
      <c r="R34" s="176"/>
      <c r="S34" s="176">
        <f>150*POWER(10,-15)</f>
        <v>1.5000000000000002E-13</v>
      </c>
      <c r="T34" s="54" t="s">
        <v>35</v>
      </c>
      <c r="U34" s="54" t="s">
        <v>73</v>
      </c>
      <c r="V34" s="50" t="s">
        <v>62</v>
      </c>
      <c r="W34" s="54" t="s">
        <v>62</v>
      </c>
    </row>
    <row r="35" spans="1:23" s="165" customFormat="1" x14ac:dyDescent="0.35">
      <c r="A35" s="54">
        <v>17</v>
      </c>
      <c r="B35" s="99">
        <v>2</v>
      </c>
      <c r="C35" s="54" t="s">
        <v>53</v>
      </c>
      <c r="D35" s="55" t="s">
        <v>53</v>
      </c>
      <c r="E35" s="130" t="s">
        <v>1478</v>
      </c>
      <c r="F35" s="54" t="s">
        <v>62</v>
      </c>
      <c r="G35" s="137"/>
      <c r="H35" s="58"/>
      <c r="I35" s="58"/>
      <c r="J35" s="54">
        <v>3.8</v>
      </c>
      <c r="K35" s="58">
        <f>J35/POWER(10,6)</f>
        <v>3.7999999999999996E-6</v>
      </c>
      <c r="L35" s="58"/>
      <c r="M35" s="58"/>
      <c r="N35" s="58"/>
      <c r="O35" s="58"/>
      <c r="P35" s="58"/>
      <c r="Q35" s="55">
        <f>V35/POWER(10,15)</f>
        <v>7.1E-13</v>
      </c>
      <c r="R35" s="176"/>
      <c r="S35" s="176">
        <f>W35/POWER(10,15)</f>
        <v>3.5000000000000002E-13</v>
      </c>
      <c r="T35" s="54" t="s">
        <v>74</v>
      </c>
      <c r="U35" s="54" t="s">
        <v>237</v>
      </c>
      <c r="V35" s="54">
        <v>710</v>
      </c>
      <c r="W35" s="54">
        <v>350</v>
      </c>
    </row>
    <row r="36" spans="1:23" s="165" customFormat="1" x14ac:dyDescent="0.35">
      <c r="A36" s="54">
        <v>525</v>
      </c>
      <c r="B36" s="99">
        <v>2</v>
      </c>
      <c r="C36" s="54" t="s">
        <v>53</v>
      </c>
      <c r="D36" s="55" t="s">
        <v>53</v>
      </c>
      <c r="E36" s="130" t="s">
        <v>1476</v>
      </c>
      <c r="F36" s="54" t="s">
        <v>62</v>
      </c>
      <c r="G36" s="99"/>
      <c r="H36" s="58"/>
      <c r="I36" s="58"/>
      <c r="J36" s="54">
        <v>3.5</v>
      </c>
      <c r="K36" s="58">
        <f>J36/POWER(10,6)</f>
        <v>3.4999999999999999E-6</v>
      </c>
      <c r="L36" s="58"/>
      <c r="M36" s="58"/>
      <c r="N36" s="58"/>
      <c r="O36" s="58"/>
      <c r="P36" s="58"/>
      <c r="Q36" s="55">
        <f>V36/POWER(10,15)</f>
        <v>8.5000000000000001E-13</v>
      </c>
      <c r="R36" s="176"/>
      <c r="S36" s="176">
        <f>W36/POWER(10,15)</f>
        <v>3.5000000000000002E-13</v>
      </c>
      <c r="T36" s="54" t="s">
        <v>74</v>
      </c>
      <c r="U36" s="54" t="s">
        <v>237</v>
      </c>
      <c r="V36" s="54">
        <v>850</v>
      </c>
      <c r="W36" s="54">
        <v>350</v>
      </c>
    </row>
    <row r="37" spans="1:23" s="165" customFormat="1" x14ac:dyDescent="0.35">
      <c r="A37" s="54">
        <v>29</v>
      </c>
      <c r="B37" s="99">
        <v>2</v>
      </c>
      <c r="C37" s="54" t="s">
        <v>53</v>
      </c>
      <c r="D37" s="55" t="s">
        <v>54</v>
      </c>
      <c r="E37" s="130" t="s">
        <v>1249</v>
      </c>
      <c r="F37" s="54" t="s">
        <v>1412</v>
      </c>
      <c r="G37" s="137"/>
      <c r="H37" s="58"/>
      <c r="I37" s="58">
        <f>O37/2</f>
        <v>5.8849999999999996E-7</v>
      </c>
      <c r="J37" s="54"/>
      <c r="K37" s="58"/>
      <c r="L37" s="58"/>
      <c r="M37" s="58"/>
      <c r="N37" s="58"/>
      <c r="O37" s="58">
        <f>V37/POWER(10,9)</f>
        <v>1.1769999999999999E-6</v>
      </c>
      <c r="P37" s="58"/>
      <c r="Q37" s="58">
        <f>O37/POWER(10,6)</f>
        <v>1.1769999999999999E-12</v>
      </c>
      <c r="R37" s="176"/>
      <c r="S37" s="176">
        <f>Q37/2</f>
        <v>5.8849999999999997E-13</v>
      </c>
      <c r="T37" s="54" t="s">
        <v>77</v>
      </c>
      <c r="U37" s="54" t="s">
        <v>79</v>
      </c>
      <c r="V37" s="54">
        <v>1177</v>
      </c>
      <c r="W37" s="54" t="s">
        <v>62</v>
      </c>
    </row>
    <row r="38" spans="1:23" s="165" customFormat="1" x14ac:dyDescent="0.35">
      <c r="A38" s="54">
        <v>30</v>
      </c>
      <c r="B38" s="99">
        <v>2</v>
      </c>
      <c r="C38" s="54" t="s">
        <v>53</v>
      </c>
      <c r="D38" s="54" t="s">
        <v>53</v>
      </c>
      <c r="E38" s="130" t="s">
        <v>1299</v>
      </c>
      <c r="F38" s="54" t="s">
        <v>1412</v>
      </c>
      <c r="G38" s="137"/>
      <c r="H38" s="58"/>
      <c r="I38" s="58"/>
      <c r="J38" s="54"/>
      <c r="K38" s="58"/>
      <c r="L38" s="58"/>
      <c r="M38" s="58"/>
      <c r="N38" s="58"/>
      <c r="O38" s="58"/>
      <c r="P38" s="58"/>
      <c r="Q38" s="58"/>
      <c r="R38" s="176"/>
      <c r="S38" s="176">
        <f>V38*(POWER(10,-12))</f>
        <v>9.9999999999999998E-13</v>
      </c>
      <c r="T38" s="54" t="s">
        <v>1296</v>
      </c>
      <c r="U38" s="54" t="s">
        <v>1295</v>
      </c>
      <c r="V38" s="54">
        <v>1</v>
      </c>
      <c r="W38" s="54" t="s">
        <v>62</v>
      </c>
    </row>
    <row r="39" spans="1:23" s="165" customFormat="1" x14ac:dyDescent="0.35">
      <c r="A39" s="54">
        <v>31</v>
      </c>
      <c r="B39" s="99">
        <v>2</v>
      </c>
      <c r="C39" s="137" t="s">
        <v>53</v>
      </c>
      <c r="D39" s="137" t="s">
        <v>54</v>
      </c>
      <c r="E39" s="164" t="s">
        <v>55</v>
      </c>
      <c r="F39" s="137" t="s">
        <v>1413</v>
      </c>
      <c r="G39" s="137">
        <f>H39*1000</f>
        <v>0.12000000000000001</v>
      </c>
      <c r="H39" s="137">
        <f>0.000012*10</f>
        <v>1.2E-4</v>
      </c>
      <c r="I39" s="137"/>
      <c r="J39" s="137"/>
      <c r="K39" s="137"/>
      <c r="L39" s="137"/>
      <c r="M39" s="137"/>
      <c r="N39" s="137"/>
      <c r="O39" s="137"/>
      <c r="P39" s="137"/>
      <c r="Q39" s="137"/>
      <c r="R39" s="176">
        <f>G39*POWER(10,-6)</f>
        <v>1.2000000000000002E-7</v>
      </c>
      <c r="S39" s="176"/>
      <c r="T39" s="137" t="s">
        <v>447</v>
      </c>
      <c r="U39" s="137" t="s">
        <v>56</v>
      </c>
      <c r="V39" s="137" t="s">
        <v>62</v>
      </c>
      <c r="W39" s="137" t="s">
        <v>62</v>
      </c>
    </row>
    <row r="40" spans="1:23" s="165" customFormat="1" x14ac:dyDescent="0.35">
      <c r="A40" s="54">
        <v>32</v>
      </c>
      <c r="B40" s="99">
        <v>2</v>
      </c>
      <c r="C40" s="137" t="s">
        <v>53</v>
      </c>
      <c r="D40" s="137" t="s">
        <v>53</v>
      </c>
      <c r="E40" s="164" t="s">
        <v>62</v>
      </c>
      <c r="F40" s="137" t="s">
        <v>62</v>
      </c>
      <c r="G40" s="137"/>
      <c r="H40" s="137"/>
      <c r="I40" s="137"/>
      <c r="J40" s="137"/>
      <c r="K40" s="137"/>
      <c r="L40" s="137"/>
      <c r="M40" s="137"/>
      <c r="N40" s="137"/>
      <c r="O40" s="137"/>
      <c r="P40" s="137"/>
      <c r="Q40" s="137"/>
      <c r="R40" s="176">
        <f>0.15/1000/1000</f>
        <v>1.4999999999999999E-7</v>
      </c>
      <c r="S40" s="176"/>
      <c r="T40" s="137" t="s">
        <v>57</v>
      </c>
      <c r="U40" s="137" t="s">
        <v>58</v>
      </c>
      <c r="V40" s="137" t="s">
        <v>62</v>
      </c>
      <c r="W40" s="137" t="s">
        <v>62</v>
      </c>
    </row>
    <row r="41" spans="1:23" s="165" customFormat="1" x14ac:dyDescent="0.35">
      <c r="A41" s="54">
        <v>33</v>
      </c>
      <c r="B41" s="99">
        <v>2</v>
      </c>
      <c r="C41" s="137" t="s">
        <v>53</v>
      </c>
      <c r="D41" s="137" t="s">
        <v>53</v>
      </c>
      <c r="E41" s="164" t="s">
        <v>65</v>
      </c>
      <c r="F41" s="137" t="s">
        <v>62</v>
      </c>
      <c r="G41" s="137"/>
      <c r="H41" s="137"/>
      <c r="I41" s="137"/>
      <c r="J41" s="137"/>
      <c r="K41" s="137"/>
      <c r="L41" s="137"/>
      <c r="M41" s="137"/>
      <c r="N41" s="137"/>
      <c r="O41" s="137"/>
      <c r="P41" s="137"/>
      <c r="Q41" s="137"/>
      <c r="R41" s="176">
        <f>0.2*POWER(10,-6)</f>
        <v>1.9999999999999999E-7</v>
      </c>
      <c r="S41" s="176"/>
      <c r="T41" s="137" t="s">
        <v>66</v>
      </c>
      <c r="U41" s="137" t="s">
        <v>67</v>
      </c>
      <c r="V41" s="137" t="s">
        <v>62</v>
      </c>
      <c r="W41" s="137" t="s">
        <v>62</v>
      </c>
    </row>
    <row r="42" spans="1:23" s="165" customFormat="1" x14ac:dyDescent="0.35">
      <c r="A42" s="54">
        <v>34</v>
      </c>
      <c r="B42" s="99">
        <v>2</v>
      </c>
      <c r="C42" s="137" t="s">
        <v>53</v>
      </c>
      <c r="D42" s="137" t="s">
        <v>1106</v>
      </c>
      <c r="E42" s="164" t="s">
        <v>1115</v>
      </c>
      <c r="F42" s="137" t="s">
        <v>1414</v>
      </c>
      <c r="G42" s="137" t="s">
        <v>1102</v>
      </c>
      <c r="H42" s="137">
        <f>G42/1000</f>
        <v>2.0000000000000001E-4</v>
      </c>
      <c r="I42" s="137"/>
      <c r="J42" s="137" t="s">
        <v>1103</v>
      </c>
      <c r="K42" s="58">
        <f>J42/POWER(10,6)</f>
        <v>5.0000000000000001E-9</v>
      </c>
      <c r="L42" s="137"/>
      <c r="M42" s="137"/>
      <c r="N42" s="137"/>
      <c r="O42" s="137"/>
      <c r="P42" s="137"/>
      <c r="Q42" s="137"/>
      <c r="R42" s="176">
        <f t="shared" ref="R42:R54" si="1">G42*POWER(10,-6)</f>
        <v>1.9999999999999999E-7</v>
      </c>
      <c r="S42" s="176"/>
      <c r="T42" s="137" t="s">
        <v>66</v>
      </c>
      <c r="U42" s="137" t="s">
        <v>1102</v>
      </c>
      <c r="V42" s="137" t="s">
        <v>62</v>
      </c>
      <c r="W42" s="137" t="s">
        <v>62</v>
      </c>
    </row>
    <row r="43" spans="1:23" s="165" customFormat="1" x14ac:dyDescent="0.35">
      <c r="A43" s="54">
        <v>35</v>
      </c>
      <c r="B43" s="99">
        <v>2</v>
      </c>
      <c r="C43" s="137" t="s">
        <v>1094</v>
      </c>
      <c r="D43" s="137" t="s">
        <v>1094</v>
      </c>
      <c r="E43" s="164" t="s">
        <v>1116</v>
      </c>
      <c r="F43" s="137" t="s">
        <v>1415</v>
      </c>
      <c r="G43" s="137">
        <v>0.2</v>
      </c>
      <c r="H43" s="137">
        <f>G43/1000</f>
        <v>2.0000000000000001E-4</v>
      </c>
      <c r="I43" s="137"/>
      <c r="J43" s="137" t="s">
        <v>1105</v>
      </c>
      <c r="K43" s="58">
        <f>J43/POWER(10,6)</f>
        <v>3E-9</v>
      </c>
      <c r="L43" s="137"/>
      <c r="M43" s="137"/>
      <c r="N43" s="137"/>
      <c r="O43" s="137"/>
      <c r="P43" s="137"/>
      <c r="Q43" s="137"/>
      <c r="R43" s="176">
        <f t="shared" si="1"/>
        <v>1.9999999999999999E-7</v>
      </c>
      <c r="S43" s="176"/>
      <c r="T43" s="137" t="s">
        <v>66</v>
      </c>
      <c r="U43" s="137" t="s">
        <v>1104</v>
      </c>
      <c r="V43" s="137" t="s">
        <v>62</v>
      </c>
      <c r="W43" s="137" t="s">
        <v>62</v>
      </c>
    </row>
    <row r="44" spans="1:23" s="165" customFormat="1" x14ac:dyDescent="0.35">
      <c r="A44" s="54">
        <v>36</v>
      </c>
      <c r="B44" s="99">
        <v>2</v>
      </c>
      <c r="C44" s="137" t="s">
        <v>53</v>
      </c>
      <c r="D44" s="137" t="s">
        <v>68</v>
      </c>
      <c r="E44" s="164" t="s">
        <v>69</v>
      </c>
      <c r="F44" s="137" t="s">
        <v>1416</v>
      </c>
      <c r="G44" s="137">
        <f>H44*1000</f>
        <v>0.5</v>
      </c>
      <c r="H44" s="137">
        <f>0.00005*10</f>
        <v>5.0000000000000001E-4</v>
      </c>
      <c r="I44" s="137"/>
      <c r="J44" s="137"/>
      <c r="K44" s="137"/>
      <c r="L44" s="137"/>
      <c r="M44" s="137"/>
      <c r="N44" s="137"/>
      <c r="O44" s="137"/>
      <c r="P44" s="137"/>
      <c r="Q44" s="137"/>
      <c r="R44" s="176">
        <f t="shared" si="1"/>
        <v>4.9999999999999998E-7</v>
      </c>
      <c r="S44" s="176"/>
      <c r="T44" s="137" t="s">
        <v>35</v>
      </c>
      <c r="U44" s="137" t="s">
        <v>56</v>
      </c>
      <c r="V44" s="137" t="s">
        <v>62</v>
      </c>
      <c r="W44" s="137" t="s">
        <v>62</v>
      </c>
    </row>
    <row r="45" spans="1:23" s="165" customFormat="1" x14ac:dyDescent="0.35">
      <c r="A45" s="54">
        <v>37</v>
      </c>
      <c r="B45" s="99">
        <v>2</v>
      </c>
      <c r="C45" s="137" t="s">
        <v>53</v>
      </c>
      <c r="D45" s="137" t="s">
        <v>1106</v>
      </c>
      <c r="E45" s="164" t="s">
        <v>1114</v>
      </c>
      <c r="F45" s="137" t="s">
        <v>1412</v>
      </c>
      <c r="G45" s="137">
        <v>2</v>
      </c>
      <c r="H45" s="137">
        <f>G45/1000</f>
        <v>2E-3</v>
      </c>
      <c r="I45" s="137"/>
      <c r="J45" s="137" t="s">
        <v>1101</v>
      </c>
      <c r="K45" s="58">
        <f>J45/POWER(10,6)</f>
        <v>1.9999999999999999E-6</v>
      </c>
      <c r="L45" s="137"/>
      <c r="M45" s="137"/>
      <c r="N45" s="137"/>
      <c r="O45" s="137"/>
      <c r="P45" s="137"/>
      <c r="Q45" s="137"/>
      <c r="R45" s="176">
        <f t="shared" si="1"/>
        <v>1.9999999999999999E-6</v>
      </c>
      <c r="S45" s="176"/>
      <c r="T45" s="137" t="s">
        <v>66</v>
      </c>
      <c r="U45" s="137" t="s">
        <v>1100</v>
      </c>
      <c r="V45" s="137" t="s">
        <v>62</v>
      </c>
      <c r="W45" s="137" t="s">
        <v>62</v>
      </c>
    </row>
    <row r="46" spans="1:23" s="165" customFormat="1" x14ac:dyDescent="0.35">
      <c r="A46" s="54">
        <v>38</v>
      </c>
      <c r="B46" s="99">
        <v>2</v>
      </c>
      <c r="C46" s="137" t="s">
        <v>53</v>
      </c>
      <c r="D46" s="137" t="s">
        <v>1106</v>
      </c>
      <c r="E46" s="164" t="s">
        <v>1113</v>
      </c>
      <c r="F46" s="137" t="s">
        <v>1417</v>
      </c>
      <c r="G46" s="137">
        <v>10</v>
      </c>
      <c r="H46" s="137">
        <f>G46/1000</f>
        <v>0.01</v>
      </c>
      <c r="I46" s="137"/>
      <c r="J46" s="137" t="s">
        <v>1088</v>
      </c>
      <c r="K46" s="58">
        <f>J46/POWER(10,6)</f>
        <v>3.0000000000000001E-5</v>
      </c>
      <c r="L46" s="137"/>
      <c r="M46" s="137"/>
      <c r="N46" s="137"/>
      <c r="O46" s="137"/>
      <c r="P46" s="137"/>
      <c r="Q46" s="137"/>
      <c r="R46" s="176">
        <f t="shared" si="1"/>
        <v>9.9999999999999991E-6</v>
      </c>
      <c r="S46" s="176"/>
      <c r="T46" s="137" t="s">
        <v>66</v>
      </c>
      <c r="U46" s="137" t="s">
        <v>1099</v>
      </c>
      <c r="V46" s="137" t="s">
        <v>62</v>
      </c>
      <c r="W46" s="137" t="s">
        <v>62</v>
      </c>
    </row>
    <row r="47" spans="1:23" s="165" customFormat="1" x14ac:dyDescent="0.35">
      <c r="A47" s="54">
        <v>39</v>
      </c>
      <c r="B47" s="99">
        <v>2</v>
      </c>
      <c r="C47" s="137" t="s">
        <v>1094</v>
      </c>
      <c r="D47" s="137" t="s">
        <v>1094</v>
      </c>
      <c r="E47" s="164" t="s">
        <v>1561</v>
      </c>
      <c r="F47" s="137" t="s">
        <v>1415</v>
      </c>
      <c r="G47" s="137" t="s">
        <v>1095</v>
      </c>
      <c r="H47" s="137">
        <f>G47/1000</f>
        <v>1.4999999999999999E-2</v>
      </c>
      <c r="I47" s="137"/>
      <c r="J47" s="137" t="s">
        <v>1096</v>
      </c>
      <c r="K47" s="58">
        <f>J47/POWER(10,6)</f>
        <v>1.8E-3</v>
      </c>
      <c r="L47" s="137"/>
      <c r="M47" s="137"/>
      <c r="N47" s="137"/>
      <c r="O47" s="137"/>
      <c r="P47" s="137"/>
      <c r="Q47" s="137"/>
      <c r="R47" s="176">
        <f t="shared" si="1"/>
        <v>1.4999999999999999E-5</v>
      </c>
      <c r="S47" s="176"/>
      <c r="T47" s="137" t="s">
        <v>66</v>
      </c>
      <c r="U47" s="137" t="s">
        <v>1095</v>
      </c>
      <c r="V47" s="137" t="s">
        <v>62</v>
      </c>
      <c r="W47" s="137" t="s">
        <v>62</v>
      </c>
    </row>
    <row r="48" spans="1:23" s="165" customFormat="1" x14ac:dyDescent="0.35">
      <c r="A48" s="54">
        <v>40</v>
      </c>
      <c r="B48" s="99">
        <v>2</v>
      </c>
      <c r="C48" s="137" t="s">
        <v>53</v>
      </c>
      <c r="D48" s="137" t="s">
        <v>1106</v>
      </c>
      <c r="E48" s="164" t="s">
        <v>1111</v>
      </c>
      <c r="F48" s="137" t="s">
        <v>1418</v>
      </c>
      <c r="G48" s="137" t="s">
        <v>1092</v>
      </c>
      <c r="H48" s="137">
        <f>G48/1000</f>
        <v>1.7999999999999999E-2</v>
      </c>
      <c r="I48" s="137"/>
      <c r="J48" s="137" t="s">
        <v>1093</v>
      </c>
      <c r="K48" s="58">
        <f>J48/POWER(10,6)</f>
        <v>3.0000000000000001E-3</v>
      </c>
      <c r="L48" s="137"/>
      <c r="M48" s="137"/>
      <c r="N48" s="137"/>
      <c r="O48" s="137"/>
      <c r="P48" s="137"/>
      <c r="Q48" s="137"/>
      <c r="R48" s="176">
        <f t="shared" si="1"/>
        <v>1.8E-5</v>
      </c>
      <c r="S48" s="176"/>
      <c r="T48" s="137" t="s">
        <v>66</v>
      </c>
      <c r="U48" s="137" t="s">
        <v>1092</v>
      </c>
      <c r="V48" s="137" t="s">
        <v>62</v>
      </c>
      <c r="W48" s="137" t="s">
        <v>62</v>
      </c>
    </row>
    <row r="49" spans="1:23" s="165" customFormat="1" x14ac:dyDescent="0.35">
      <c r="A49" s="54">
        <v>41</v>
      </c>
      <c r="B49" s="99">
        <v>2</v>
      </c>
      <c r="C49" s="137" t="s">
        <v>53</v>
      </c>
      <c r="D49" s="137" t="s">
        <v>68</v>
      </c>
      <c r="E49" s="164" t="s">
        <v>70</v>
      </c>
      <c r="F49" s="137" t="s">
        <v>1419</v>
      </c>
      <c r="G49" s="137">
        <f>H49*1000</f>
        <v>25</v>
      </c>
      <c r="H49" s="137">
        <f>0.0025*10</f>
        <v>2.5000000000000001E-2</v>
      </c>
      <c r="I49" s="137"/>
      <c r="J49" s="137"/>
      <c r="K49" s="137"/>
      <c r="L49" s="137"/>
      <c r="M49" s="137"/>
      <c r="N49" s="137"/>
      <c r="O49" s="137"/>
      <c r="P49" s="137"/>
      <c r="Q49" s="137"/>
      <c r="R49" s="176">
        <f t="shared" si="1"/>
        <v>2.4999999999999998E-5</v>
      </c>
      <c r="S49" s="176"/>
      <c r="T49" s="137" t="s">
        <v>35</v>
      </c>
      <c r="U49" s="137" t="s">
        <v>56</v>
      </c>
      <c r="V49" s="137" t="s">
        <v>62</v>
      </c>
      <c r="W49" s="137" t="s">
        <v>62</v>
      </c>
    </row>
    <row r="50" spans="1:23" s="165" customFormat="1" x14ac:dyDescent="0.35">
      <c r="A50" s="54">
        <v>42</v>
      </c>
      <c r="B50" s="99">
        <v>2</v>
      </c>
      <c r="C50" s="137" t="s">
        <v>53</v>
      </c>
      <c r="D50" s="137" t="s">
        <v>1106</v>
      </c>
      <c r="E50" s="164" t="s">
        <v>1109</v>
      </c>
      <c r="F50" s="137" t="s">
        <v>1420</v>
      </c>
      <c r="G50" s="137" t="s">
        <v>1088</v>
      </c>
      <c r="H50" s="137">
        <f>G50/1000</f>
        <v>0.03</v>
      </c>
      <c r="I50" s="137"/>
      <c r="J50" s="137" t="s">
        <v>1089</v>
      </c>
      <c r="K50" s="58">
        <f>J50/POWER(10,6)</f>
        <v>1.4E-2</v>
      </c>
      <c r="L50" s="137"/>
      <c r="M50" s="137"/>
      <c r="N50" s="137"/>
      <c r="O50" s="137"/>
      <c r="P50" s="137"/>
      <c r="Q50" s="137"/>
      <c r="R50" s="176">
        <f t="shared" si="1"/>
        <v>2.9999999999999997E-5</v>
      </c>
      <c r="S50" s="176"/>
      <c r="T50" s="137" t="s">
        <v>66</v>
      </c>
      <c r="U50" s="137" t="s">
        <v>1088</v>
      </c>
      <c r="V50" s="137" t="s">
        <v>62</v>
      </c>
      <c r="W50" s="137" t="s">
        <v>62</v>
      </c>
    </row>
    <row r="51" spans="1:23" s="165" customFormat="1" x14ac:dyDescent="0.35">
      <c r="A51" s="54">
        <v>43</v>
      </c>
      <c r="B51" s="99">
        <v>2</v>
      </c>
      <c r="C51" s="137" t="s">
        <v>53</v>
      </c>
      <c r="D51" s="137" t="s">
        <v>1106</v>
      </c>
      <c r="E51" s="164" t="s">
        <v>1110</v>
      </c>
      <c r="F51" s="137" t="s">
        <v>1421</v>
      </c>
      <c r="G51" s="137">
        <v>30</v>
      </c>
      <c r="H51" s="137">
        <f>G51/1000</f>
        <v>0.03</v>
      </c>
      <c r="I51" s="137"/>
      <c r="J51" s="137" t="s">
        <v>1091</v>
      </c>
      <c r="K51" s="58">
        <f>J51/POWER(10,6)</f>
        <v>3.5000000000000001E-3</v>
      </c>
      <c r="L51" s="137"/>
      <c r="M51" s="137"/>
      <c r="N51" s="137"/>
      <c r="O51" s="137"/>
      <c r="P51" s="137"/>
      <c r="Q51" s="137"/>
      <c r="R51" s="176">
        <f t="shared" si="1"/>
        <v>2.9999999999999997E-5</v>
      </c>
      <c r="S51" s="176"/>
      <c r="T51" s="137" t="s">
        <v>66</v>
      </c>
      <c r="U51" s="137" t="s">
        <v>1090</v>
      </c>
      <c r="V51" s="137" t="s">
        <v>62</v>
      </c>
      <c r="W51" s="137" t="s">
        <v>62</v>
      </c>
    </row>
    <row r="52" spans="1:23" s="1" customFormat="1" x14ac:dyDescent="0.35">
      <c r="A52" s="54">
        <v>44</v>
      </c>
      <c r="B52" s="99">
        <v>2</v>
      </c>
      <c r="C52" s="137" t="s">
        <v>53</v>
      </c>
      <c r="D52" s="137" t="s">
        <v>1106</v>
      </c>
      <c r="E52" s="164" t="s">
        <v>1112</v>
      </c>
      <c r="F52" s="137" t="s">
        <v>1417</v>
      </c>
      <c r="G52" s="137">
        <v>30</v>
      </c>
      <c r="H52" s="137">
        <f>G52/1000</f>
        <v>0.03</v>
      </c>
      <c r="I52" s="137"/>
      <c r="J52" s="137" t="s">
        <v>1098</v>
      </c>
      <c r="K52" s="58">
        <f>J52/POWER(10,6)</f>
        <v>5.9999999999999995E-4</v>
      </c>
      <c r="L52" s="137"/>
      <c r="M52" s="137"/>
      <c r="N52" s="137"/>
      <c r="O52" s="137"/>
      <c r="P52" s="137"/>
      <c r="Q52" s="137"/>
      <c r="R52" s="176">
        <f t="shared" si="1"/>
        <v>2.9999999999999997E-5</v>
      </c>
      <c r="S52" s="176"/>
      <c r="T52" s="137" t="s">
        <v>66</v>
      </c>
      <c r="U52" s="137" t="s">
        <v>1097</v>
      </c>
      <c r="V52" s="137" t="s">
        <v>62</v>
      </c>
      <c r="W52" s="137" t="s">
        <v>62</v>
      </c>
    </row>
    <row r="53" spans="1:23" s="1" customFormat="1" x14ac:dyDescent="0.35">
      <c r="A53" s="54">
        <v>45</v>
      </c>
      <c r="B53" s="99">
        <v>2</v>
      </c>
      <c r="C53" s="137" t="s">
        <v>53</v>
      </c>
      <c r="D53" s="137" t="s">
        <v>1106</v>
      </c>
      <c r="E53" s="164" t="s">
        <v>1108</v>
      </c>
      <c r="F53" s="137" t="s">
        <v>1422</v>
      </c>
      <c r="G53" s="137">
        <v>43</v>
      </c>
      <c r="H53" s="137">
        <f>G53/1000</f>
        <v>4.2999999999999997E-2</v>
      </c>
      <c r="I53" s="137"/>
      <c r="J53" s="137" t="s">
        <v>1086</v>
      </c>
      <c r="K53" s="58">
        <f>J53/POWER(10,6)</f>
        <v>0.04</v>
      </c>
      <c r="L53" s="137"/>
      <c r="M53" s="137"/>
      <c r="N53" s="137"/>
      <c r="O53" s="137"/>
      <c r="P53" s="137"/>
      <c r="Q53" s="137"/>
      <c r="R53" s="176">
        <f t="shared" si="1"/>
        <v>4.2999999999999995E-5</v>
      </c>
      <c r="S53" s="176"/>
      <c r="T53" s="137" t="s">
        <v>66</v>
      </c>
      <c r="U53" s="137" t="s">
        <v>1085</v>
      </c>
      <c r="V53" s="137" t="s">
        <v>62</v>
      </c>
      <c r="W53" s="137" t="s">
        <v>62</v>
      </c>
    </row>
    <row r="54" spans="1:23" s="1" customFormat="1" x14ac:dyDescent="0.35">
      <c r="A54" s="54">
        <v>46</v>
      </c>
      <c r="B54" s="99">
        <v>2</v>
      </c>
      <c r="C54" s="137" t="s">
        <v>53</v>
      </c>
      <c r="D54" s="137" t="s">
        <v>1106</v>
      </c>
      <c r="E54" s="164" t="s">
        <v>1117</v>
      </c>
      <c r="F54" s="137" t="s">
        <v>1419</v>
      </c>
      <c r="G54" s="137">
        <v>80</v>
      </c>
      <c r="H54" s="137">
        <f>G54/1000</f>
        <v>0.08</v>
      </c>
      <c r="I54" s="137"/>
      <c r="J54" s="137" t="s">
        <v>1086</v>
      </c>
      <c r="K54" s="58">
        <f>J54/POWER(10,6)</f>
        <v>0.04</v>
      </c>
      <c r="L54" s="137"/>
      <c r="M54" s="137"/>
      <c r="N54" s="137"/>
      <c r="O54" s="137"/>
      <c r="P54" s="137"/>
      <c r="Q54" s="137"/>
      <c r="R54" s="176">
        <f t="shared" si="1"/>
        <v>7.9999999999999993E-5</v>
      </c>
      <c r="S54" s="176"/>
      <c r="T54" s="137" t="s">
        <v>66</v>
      </c>
      <c r="U54" s="137" t="s">
        <v>1087</v>
      </c>
      <c r="V54" s="137" t="s">
        <v>62</v>
      </c>
      <c r="W54" s="137" t="s">
        <v>62</v>
      </c>
    </row>
    <row r="55" spans="1:23" s="1" customFormat="1" x14ac:dyDescent="0.35">
      <c r="A55" s="54">
        <v>47</v>
      </c>
      <c r="B55" s="99">
        <v>2</v>
      </c>
      <c r="C55" s="137" t="s">
        <v>53</v>
      </c>
      <c r="D55" s="137" t="s">
        <v>53</v>
      </c>
      <c r="E55" s="164" t="s">
        <v>71</v>
      </c>
      <c r="F55" s="137" t="s">
        <v>1421</v>
      </c>
      <c r="G55" s="137">
        <v>95</v>
      </c>
      <c r="H55" s="137"/>
      <c r="I55" s="137"/>
      <c r="J55" s="137">
        <v>80000</v>
      </c>
      <c r="K55" s="137">
        <f>J55/1000000</f>
        <v>0.08</v>
      </c>
      <c r="L55" s="137"/>
      <c r="M55" s="137"/>
      <c r="N55" s="137"/>
      <c r="O55" s="137"/>
      <c r="P55" s="137"/>
      <c r="Q55" s="137"/>
      <c r="R55" s="176">
        <f>95*POWER(10,-6)</f>
        <v>9.4999999999999992E-5</v>
      </c>
      <c r="S55" s="176"/>
      <c r="T55" s="137" t="s">
        <v>66</v>
      </c>
      <c r="U55" s="137" t="s">
        <v>1045</v>
      </c>
      <c r="V55" s="137" t="s">
        <v>62</v>
      </c>
      <c r="W55" s="137" t="s">
        <v>62</v>
      </c>
    </row>
    <row r="56" spans="1:23" s="1" customFormat="1" x14ac:dyDescent="0.35">
      <c r="A56" s="54">
        <v>48</v>
      </c>
      <c r="B56" s="99">
        <v>2</v>
      </c>
      <c r="C56" s="137" t="s">
        <v>53</v>
      </c>
      <c r="D56" s="137" t="s">
        <v>1106</v>
      </c>
      <c r="E56" s="164" t="s">
        <v>1107</v>
      </c>
      <c r="F56" s="137" t="s">
        <v>1422</v>
      </c>
      <c r="G56" s="137">
        <v>160</v>
      </c>
      <c r="H56" s="137">
        <f>G56/1000</f>
        <v>0.16</v>
      </c>
      <c r="I56" s="137"/>
      <c r="J56" s="137" t="s">
        <v>1084</v>
      </c>
      <c r="K56" s="58">
        <f>J56/POWER(10,6)</f>
        <v>1</v>
      </c>
      <c r="L56" s="137"/>
      <c r="M56" s="137"/>
      <c r="N56" s="137"/>
      <c r="O56" s="137"/>
      <c r="P56" s="137"/>
      <c r="Q56" s="137"/>
      <c r="R56" s="176">
        <f>G56*POWER(10,-6)</f>
        <v>1.5999999999999999E-4</v>
      </c>
      <c r="S56" s="176"/>
      <c r="T56" s="137" t="s">
        <v>66</v>
      </c>
      <c r="U56" s="137" t="s">
        <v>1083</v>
      </c>
      <c r="V56" s="137" t="s">
        <v>62</v>
      </c>
      <c r="W56" s="137" t="s">
        <v>62</v>
      </c>
    </row>
    <row r="57" spans="1:23" x14ac:dyDescent="0.35">
      <c r="A57" s="54">
        <v>49</v>
      </c>
      <c r="B57" s="99">
        <v>2</v>
      </c>
      <c r="C57" s="137" t="s">
        <v>53</v>
      </c>
      <c r="D57" s="137" t="s">
        <v>1106</v>
      </c>
      <c r="E57" s="164" t="s">
        <v>736</v>
      </c>
      <c r="F57" s="137" t="s">
        <v>1423</v>
      </c>
      <c r="G57" s="137" t="s">
        <v>1081</v>
      </c>
      <c r="H57" s="137">
        <f>G57/1000</f>
        <v>0.75</v>
      </c>
      <c r="I57" s="137"/>
      <c r="J57" s="137" t="s">
        <v>1082</v>
      </c>
      <c r="K57" s="58">
        <f>J57/POWER(10,6)</f>
        <v>200</v>
      </c>
      <c r="L57" s="137"/>
      <c r="M57" s="137"/>
      <c r="N57" s="137"/>
      <c r="O57" s="137"/>
      <c r="P57" s="137"/>
      <c r="Q57" s="137"/>
      <c r="R57" s="176">
        <f>G57*POWER(10,-6)</f>
        <v>7.5000000000000002E-4</v>
      </c>
      <c r="S57" s="176"/>
      <c r="T57" s="137" t="s">
        <v>66</v>
      </c>
      <c r="U57" s="137" t="s">
        <v>1081</v>
      </c>
      <c r="V57" s="137" t="s">
        <v>62</v>
      </c>
      <c r="W57" s="137" t="s">
        <v>62</v>
      </c>
    </row>
    <row r="58" spans="1:23" x14ac:dyDescent="0.35">
      <c r="A58" s="54">
        <v>50</v>
      </c>
      <c r="B58" s="99">
        <v>2</v>
      </c>
      <c r="C58" s="54" t="s">
        <v>53</v>
      </c>
      <c r="D58" s="54" t="s">
        <v>53</v>
      </c>
      <c r="E58" s="130" t="s">
        <v>65</v>
      </c>
      <c r="F58" s="54" t="s">
        <v>62</v>
      </c>
      <c r="G58" s="99"/>
      <c r="L58" s="58">
        <f>N58*1000000</f>
        <v>1.0000000000000001E-9</v>
      </c>
      <c r="M58" s="58">
        <f>N58*1000</f>
        <v>9.9999999999999998E-13</v>
      </c>
      <c r="N58" s="58">
        <v>1.0000000000000001E-15</v>
      </c>
      <c r="R58" s="176"/>
      <c r="S58" s="176"/>
      <c r="T58" s="54" t="s">
        <v>447</v>
      </c>
      <c r="V58" s="54" t="s">
        <v>62</v>
      </c>
      <c r="W58" s="54" t="s">
        <v>62</v>
      </c>
    </row>
    <row r="59" spans="1:23" s="132" customFormat="1" x14ac:dyDescent="0.35">
      <c r="A59" s="54">
        <v>51</v>
      </c>
      <c r="B59" s="99">
        <v>2</v>
      </c>
      <c r="C59" s="54" t="s">
        <v>53</v>
      </c>
      <c r="D59" s="55" t="s">
        <v>54</v>
      </c>
      <c r="E59" s="130" t="s">
        <v>1489</v>
      </c>
      <c r="F59" s="54" t="s">
        <v>1412</v>
      </c>
      <c r="G59" s="99"/>
      <c r="H59" s="58"/>
      <c r="I59" s="58"/>
      <c r="J59" s="54"/>
      <c r="K59" s="58"/>
      <c r="L59" s="58">
        <f>N59*1000000</f>
        <v>6.6499999999999999E-7</v>
      </c>
      <c r="M59" s="58">
        <f>N59*1000</f>
        <v>6.6499999999999998E-10</v>
      </c>
      <c r="N59" s="58">
        <f>V59/POWER(10,15)</f>
        <v>6.6499999999999999E-13</v>
      </c>
      <c r="O59" s="58"/>
      <c r="P59" s="58"/>
      <c r="Q59" s="58"/>
      <c r="R59" s="176"/>
      <c r="S59" s="176"/>
      <c r="T59" s="54" t="s">
        <v>75</v>
      </c>
      <c r="U59" s="54" t="s">
        <v>1488</v>
      </c>
      <c r="V59" s="54">
        <v>665</v>
      </c>
      <c r="W59" s="54" t="s">
        <v>62</v>
      </c>
    </row>
    <row r="60" spans="1:23" x14ac:dyDescent="0.35">
      <c r="A60" s="54">
        <v>52</v>
      </c>
      <c r="B60" s="99">
        <v>2</v>
      </c>
      <c r="C60" s="54" t="s">
        <v>53</v>
      </c>
      <c r="D60" s="54" t="s">
        <v>59</v>
      </c>
      <c r="E60" s="130" t="s">
        <v>418</v>
      </c>
      <c r="F60" s="54" t="s">
        <v>1412</v>
      </c>
      <c r="G60" s="99"/>
      <c r="Q60" s="58">
        <v>1.9E-12</v>
      </c>
      <c r="R60" s="176"/>
      <c r="S60" s="176"/>
      <c r="T60" s="54" t="s">
        <v>413</v>
      </c>
      <c r="V60" s="50" t="s">
        <v>62</v>
      </c>
      <c r="W60" s="54" t="s">
        <v>62</v>
      </c>
    </row>
    <row r="61" spans="1:23" x14ac:dyDescent="0.35">
      <c r="A61" s="54">
        <v>53</v>
      </c>
      <c r="B61" s="99">
        <v>2</v>
      </c>
      <c r="C61" s="54" t="s">
        <v>53</v>
      </c>
      <c r="D61" s="54" t="s">
        <v>54</v>
      </c>
      <c r="E61" s="130" t="s">
        <v>80</v>
      </c>
      <c r="F61" s="54" t="s">
        <v>62</v>
      </c>
      <c r="G61" s="99"/>
      <c r="J61" s="55">
        <v>0.09</v>
      </c>
      <c r="K61" s="58">
        <f>J61/1000000</f>
        <v>8.9999999999999999E-8</v>
      </c>
      <c r="R61" s="176"/>
      <c r="S61" s="176"/>
      <c r="T61" s="54" t="s">
        <v>81</v>
      </c>
      <c r="V61" s="50" t="s">
        <v>62</v>
      </c>
      <c r="W61" s="54" t="s">
        <v>62</v>
      </c>
    </row>
    <row r="62" spans="1:23" x14ac:dyDescent="0.35">
      <c r="A62" s="54">
        <v>54</v>
      </c>
      <c r="B62" s="99">
        <v>2</v>
      </c>
      <c r="C62" s="54" t="s">
        <v>53</v>
      </c>
      <c r="D62" s="54" t="s">
        <v>59</v>
      </c>
      <c r="E62" s="130" t="s">
        <v>88</v>
      </c>
      <c r="F62" s="54" t="s">
        <v>62</v>
      </c>
      <c r="G62" s="99"/>
      <c r="J62" s="55">
        <v>7.1999999999999995E-2</v>
      </c>
      <c r="K62" s="58">
        <f>J62/1000000</f>
        <v>7.1999999999999996E-8</v>
      </c>
      <c r="R62" s="176"/>
      <c r="S62" s="176"/>
      <c r="T62" s="54" t="s">
        <v>81</v>
      </c>
      <c r="U62" s="54" t="s">
        <v>89</v>
      </c>
      <c r="V62" s="50" t="s">
        <v>62</v>
      </c>
      <c r="W62" s="54" t="s">
        <v>62</v>
      </c>
    </row>
    <row r="63" spans="1:23" x14ac:dyDescent="0.35">
      <c r="A63" s="54">
        <v>55</v>
      </c>
      <c r="B63" s="99">
        <v>2</v>
      </c>
      <c r="C63" s="54" t="s">
        <v>53</v>
      </c>
      <c r="D63" s="54" t="s">
        <v>53</v>
      </c>
      <c r="E63" s="130" t="s">
        <v>1046</v>
      </c>
      <c r="F63" s="54" t="s">
        <v>62</v>
      </c>
      <c r="G63" s="99"/>
      <c r="L63" s="58">
        <f>N63*1000000</f>
        <v>1E-8</v>
      </c>
      <c r="M63" s="58">
        <f>N63*1000</f>
        <v>9.9999999999999994E-12</v>
      </c>
      <c r="N63" s="58">
        <v>1E-14</v>
      </c>
      <c r="R63" s="176"/>
      <c r="S63" s="176"/>
      <c r="T63" s="54" t="s">
        <v>57</v>
      </c>
      <c r="V63" s="50" t="s">
        <v>62</v>
      </c>
      <c r="W63" s="54" t="s">
        <v>62</v>
      </c>
    </row>
    <row r="64" spans="1:23" x14ac:dyDescent="0.35">
      <c r="A64" s="54">
        <v>56</v>
      </c>
      <c r="B64" s="99">
        <v>2</v>
      </c>
      <c r="C64" s="54" t="s">
        <v>53</v>
      </c>
      <c r="D64" s="54" t="s">
        <v>53</v>
      </c>
      <c r="E64" s="130" t="s">
        <v>95</v>
      </c>
      <c r="F64" s="54" t="s">
        <v>62</v>
      </c>
      <c r="G64" s="99"/>
      <c r="L64" s="58">
        <f>N64*1000000</f>
        <v>9.9999999999999991E-6</v>
      </c>
      <c r="M64" s="58">
        <f>N64*1000</f>
        <v>1E-8</v>
      </c>
      <c r="N64" s="58">
        <v>9.9999999999999994E-12</v>
      </c>
      <c r="R64" s="176"/>
      <c r="S64" s="176"/>
      <c r="T64" s="54" t="s">
        <v>57</v>
      </c>
      <c r="V64" s="50" t="s">
        <v>62</v>
      </c>
      <c r="W64" s="54" t="s">
        <v>62</v>
      </c>
    </row>
    <row r="65" spans="1:23" x14ac:dyDescent="0.35">
      <c r="A65" s="54">
        <v>57</v>
      </c>
      <c r="B65" s="99">
        <v>2</v>
      </c>
      <c r="C65" s="54" t="s">
        <v>53</v>
      </c>
      <c r="D65" s="54" t="s">
        <v>53</v>
      </c>
      <c r="E65" s="130" t="s">
        <v>62</v>
      </c>
      <c r="F65" s="54" t="s">
        <v>62</v>
      </c>
      <c r="G65" s="99"/>
      <c r="J65" s="54">
        <v>7.1999999999999995E-2</v>
      </c>
      <c r="K65" s="58">
        <f>J65/POWER(10,6)</f>
        <v>7.1999999999999996E-8</v>
      </c>
      <c r="R65" s="176"/>
      <c r="S65" s="176"/>
      <c r="T65" s="54" t="s">
        <v>81</v>
      </c>
      <c r="V65" s="50" t="s">
        <v>62</v>
      </c>
      <c r="W65" s="54" t="s">
        <v>62</v>
      </c>
    </row>
    <row r="66" spans="1:23" x14ac:dyDescent="0.35">
      <c r="A66" s="54">
        <v>58</v>
      </c>
      <c r="B66" s="99">
        <v>2</v>
      </c>
      <c r="C66" s="54" t="s">
        <v>53</v>
      </c>
      <c r="D66" s="54" t="s">
        <v>53</v>
      </c>
      <c r="E66" s="130" t="s">
        <v>62</v>
      </c>
      <c r="F66" s="54" t="s">
        <v>62</v>
      </c>
      <c r="G66" s="99"/>
      <c r="J66" s="54">
        <v>0.09</v>
      </c>
      <c r="K66" s="58">
        <f>J66/POWER(10,6)</f>
        <v>8.9999999999999999E-8</v>
      </c>
      <c r="R66" s="176"/>
      <c r="S66" s="176"/>
      <c r="T66" s="54" t="s">
        <v>81</v>
      </c>
      <c r="V66" s="50" t="s">
        <v>62</v>
      </c>
      <c r="W66" s="54" t="s">
        <v>62</v>
      </c>
    </row>
    <row r="67" spans="1:23" x14ac:dyDescent="0.35">
      <c r="A67" s="54">
        <v>59</v>
      </c>
      <c r="B67" s="99">
        <v>2</v>
      </c>
      <c r="C67" s="54" t="s">
        <v>53</v>
      </c>
      <c r="D67" s="54" t="s">
        <v>735</v>
      </c>
      <c r="E67" s="130" t="s">
        <v>733</v>
      </c>
      <c r="F67" s="54" t="s">
        <v>1424</v>
      </c>
      <c r="G67" s="99"/>
      <c r="J67" s="54">
        <v>1.2999999999999999E-2</v>
      </c>
      <c r="K67" s="58">
        <f>J67/1000000</f>
        <v>1.2999999999999999E-8</v>
      </c>
      <c r="R67" s="176"/>
      <c r="S67" s="176"/>
      <c r="T67" s="54" t="s">
        <v>734</v>
      </c>
      <c r="V67" s="50" t="s">
        <v>62</v>
      </c>
      <c r="W67" s="54" t="s">
        <v>62</v>
      </c>
    </row>
    <row r="68" spans="1:23" x14ac:dyDescent="0.35">
      <c r="A68" s="54">
        <v>60</v>
      </c>
      <c r="B68" s="99">
        <v>2</v>
      </c>
      <c r="C68" s="54" t="s">
        <v>53</v>
      </c>
      <c r="D68" s="54" t="s">
        <v>735</v>
      </c>
      <c r="E68" s="130" t="s">
        <v>736</v>
      </c>
      <c r="F68" s="54" t="s">
        <v>1423</v>
      </c>
      <c r="G68" s="99">
        <v>750</v>
      </c>
      <c r="J68" s="54">
        <f>2.2*POWER(10,8)</f>
        <v>220000000.00000003</v>
      </c>
      <c r="K68" s="58">
        <f>J68/1000000</f>
        <v>220.00000000000003</v>
      </c>
      <c r="R68" s="176"/>
      <c r="S68" s="176"/>
      <c r="T68" s="54" t="s">
        <v>734</v>
      </c>
      <c r="U68" s="54" t="s">
        <v>737</v>
      </c>
      <c r="V68" s="50" t="s">
        <v>62</v>
      </c>
      <c r="W68" s="54" t="s">
        <v>62</v>
      </c>
    </row>
    <row r="69" spans="1:23" x14ac:dyDescent="0.35">
      <c r="A69" s="54">
        <v>63</v>
      </c>
      <c r="B69" s="99">
        <v>2</v>
      </c>
      <c r="C69" s="54" t="s">
        <v>53</v>
      </c>
      <c r="D69" s="54" t="s">
        <v>1269</v>
      </c>
      <c r="E69" s="130" t="s">
        <v>1274</v>
      </c>
      <c r="F69" s="54" t="s">
        <v>1412</v>
      </c>
      <c r="Q69" s="58">
        <v>3.3061675200000004E-13</v>
      </c>
      <c r="R69" s="176"/>
      <c r="S69" s="176"/>
      <c r="T69" s="54" t="s">
        <v>1275</v>
      </c>
      <c r="U69" s="54" t="s">
        <v>1273</v>
      </c>
      <c r="V69" s="50" t="s">
        <v>62</v>
      </c>
      <c r="W69" s="50" t="s">
        <v>62</v>
      </c>
    </row>
    <row r="70" spans="1:23" x14ac:dyDescent="0.35">
      <c r="A70" s="54">
        <v>64</v>
      </c>
      <c r="B70" s="99">
        <v>2</v>
      </c>
      <c r="C70" s="54" t="s">
        <v>53</v>
      </c>
      <c r="D70" s="54" t="s">
        <v>1270</v>
      </c>
      <c r="E70" s="130" t="s">
        <v>1114</v>
      </c>
      <c r="F70" s="54" t="s">
        <v>1412</v>
      </c>
      <c r="Q70" s="58">
        <v>2.6679775540000002E-12</v>
      </c>
      <c r="R70" s="176"/>
      <c r="S70" s="176"/>
      <c r="T70" s="54" t="s">
        <v>1275</v>
      </c>
      <c r="U70" s="54" t="s">
        <v>1273</v>
      </c>
      <c r="V70" s="50" t="s">
        <v>62</v>
      </c>
      <c r="W70" s="50" t="s">
        <v>62</v>
      </c>
    </row>
    <row r="71" spans="1:23" x14ac:dyDescent="0.35">
      <c r="A71" s="54">
        <v>65</v>
      </c>
      <c r="B71" s="99">
        <v>2</v>
      </c>
      <c r="C71" s="54" t="s">
        <v>53</v>
      </c>
      <c r="D71" s="54" t="s">
        <v>1040</v>
      </c>
      <c r="E71" s="130" t="s">
        <v>1263</v>
      </c>
      <c r="F71" s="54" t="s">
        <v>1425</v>
      </c>
      <c r="J71" s="137">
        <v>0.16</v>
      </c>
      <c r="K71" s="58">
        <f>J71/POWER(10,6)</f>
        <v>1.6E-7</v>
      </c>
      <c r="R71" s="176"/>
      <c r="S71" s="176"/>
      <c r="T71" s="54" t="s">
        <v>1276</v>
      </c>
      <c r="W71" s="50" t="s">
        <v>62</v>
      </c>
    </row>
    <row r="72" spans="1:23" x14ac:dyDescent="0.35">
      <c r="A72" s="54">
        <v>66</v>
      </c>
      <c r="B72" s="99">
        <v>2</v>
      </c>
      <c r="C72" s="54" t="s">
        <v>53</v>
      </c>
      <c r="D72" s="54" t="s">
        <v>1040</v>
      </c>
      <c r="E72" s="130" t="s">
        <v>1264</v>
      </c>
      <c r="F72" s="54" t="s">
        <v>1425</v>
      </c>
      <c r="J72" s="137">
        <v>4000</v>
      </c>
      <c r="K72" s="58">
        <f>J72/POWER(10,6)</f>
        <v>4.0000000000000001E-3</v>
      </c>
      <c r="R72" s="176"/>
      <c r="S72" s="176"/>
      <c r="T72" s="54" t="s">
        <v>1276</v>
      </c>
      <c r="W72" s="50" t="s">
        <v>62</v>
      </c>
    </row>
    <row r="73" spans="1:23" x14ac:dyDescent="0.35">
      <c r="A73" s="54">
        <v>82</v>
      </c>
      <c r="B73" s="99">
        <v>3</v>
      </c>
      <c r="C73" s="54" t="s">
        <v>662</v>
      </c>
      <c r="D73" s="55" t="s">
        <v>116</v>
      </c>
      <c r="E73" s="130" t="s">
        <v>117</v>
      </c>
      <c r="F73" s="54" t="s">
        <v>62</v>
      </c>
      <c r="G73" s="99"/>
      <c r="I73" s="58">
        <f>S73*1000000</f>
        <v>8.0000000000000007E-7</v>
      </c>
      <c r="J73" s="55"/>
      <c r="R73" s="176"/>
      <c r="S73" s="176">
        <f>0.8*POWER(10,-12)</f>
        <v>8.0000000000000002E-13</v>
      </c>
      <c r="T73" s="54" t="s">
        <v>35</v>
      </c>
      <c r="U73" s="54" t="s">
        <v>118</v>
      </c>
      <c r="V73" s="50" t="s">
        <v>62</v>
      </c>
      <c r="W73" s="50" t="s">
        <v>62</v>
      </c>
    </row>
    <row r="74" spans="1:23" x14ac:dyDescent="0.35">
      <c r="A74" s="54">
        <v>83</v>
      </c>
      <c r="B74" s="99">
        <v>3</v>
      </c>
      <c r="C74" s="54" t="s">
        <v>662</v>
      </c>
      <c r="D74" s="54" t="s">
        <v>426</v>
      </c>
      <c r="E74" s="130" t="s">
        <v>62</v>
      </c>
      <c r="F74" s="54" t="s">
        <v>62</v>
      </c>
      <c r="G74" s="99"/>
      <c r="Q74" s="52"/>
      <c r="R74" s="176"/>
      <c r="S74" s="176">
        <v>1.6636233219143062E-12</v>
      </c>
      <c r="T74" s="54" t="s">
        <v>424</v>
      </c>
      <c r="U74" s="57" t="s">
        <v>1484</v>
      </c>
      <c r="V74" s="50" t="s">
        <v>62</v>
      </c>
      <c r="W74" s="54" t="s">
        <v>62</v>
      </c>
    </row>
    <row r="75" spans="1:23" x14ac:dyDescent="0.35">
      <c r="A75" s="54">
        <v>84</v>
      </c>
      <c r="B75" s="167">
        <v>3</v>
      </c>
      <c r="C75" s="50" t="s">
        <v>662</v>
      </c>
      <c r="D75" s="54" t="s">
        <v>1261</v>
      </c>
      <c r="E75" s="130" t="s">
        <v>1263</v>
      </c>
      <c r="F75" s="54" t="s">
        <v>1433</v>
      </c>
      <c r="R75" s="176"/>
      <c r="S75" s="176">
        <v>1.8874251842353049E-12</v>
      </c>
      <c r="T75" s="54" t="s">
        <v>1260</v>
      </c>
      <c r="U75" s="50" t="s">
        <v>1262</v>
      </c>
      <c r="V75" s="50" t="s">
        <v>62</v>
      </c>
      <c r="W75" s="50" t="s">
        <v>62</v>
      </c>
    </row>
    <row r="76" spans="1:23" x14ac:dyDescent="0.35">
      <c r="A76" s="54">
        <v>85</v>
      </c>
      <c r="B76" s="167">
        <v>3</v>
      </c>
      <c r="C76" s="50" t="s">
        <v>662</v>
      </c>
      <c r="D76" s="54" t="s">
        <v>1255</v>
      </c>
      <c r="E76" s="130" t="s">
        <v>1263</v>
      </c>
      <c r="F76" s="54" t="s">
        <v>1434</v>
      </c>
      <c r="R76" s="176"/>
      <c r="S76" s="176">
        <v>2.2186380483611504E-12</v>
      </c>
      <c r="T76" s="54" t="s">
        <v>1260</v>
      </c>
      <c r="U76" s="50" t="s">
        <v>1262</v>
      </c>
      <c r="V76" s="50" t="s">
        <v>62</v>
      </c>
      <c r="W76" s="50" t="s">
        <v>62</v>
      </c>
    </row>
    <row r="77" spans="1:23" x14ac:dyDescent="0.35">
      <c r="A77" s="54">
        <v>86</v>
      </c>
      <c r="B77" s="167">
        <v>3</v>
      </c>
      <c r="C77" s="50" t="s">
        <v>662</v>
      </c>
      <c r="D77" s="54" t="s">
        <v>1255</v>
      </c>
      <c r="E77" s="130" t="s">
        <v>1254</v>
      </c>
      <c r="F77" s="54" t="s">
        <v>1434</v>
      </c>
      <c r="R77" s="176"/>
      <c r="S77" s="176">
        <v>6.7731376305191427E-12</v>
      </c>
      <c r="T77" s="54" t="s">
        <v>1256</v>
      </c>
      <c r="U77" s="50" t="s">
        <v>20</v>
      </c>
      <c r="V77" s="50" t="s">
        <v>62</v>
      </c>
      <c r="W77" s="50" t="s">
        <v>62</v>
      </c>
    </row>
    <row r="78" spans="1:23" x14ac:dyDescent="0.35">
      <c r="A78" s="54">
        <v>87</v>
      </c>
      <c r="B78" s="99">
        <v>3</v>
      </c>
      <c r="C78" s="54" t="s">
        <v>662</v>
      </c>
      <c r="D78" s="54" t="s">
        <v>855</v>
      </c>
      <c r="E78" s="130" t="s">
        <v>854</v>
      </c>
      <c r="F78" s="54" t="s">
        <v>1434</v>
      </c>
      <c r="G78" s="99"/>
      <c r="J78" s="54">
        <v>193.93</v>
      </c>
      <c r="K78" s="58">
        <f>J78/POWER(10,6)</f>
        <v>1.9393000000000001E-4</v>
      </c>
      <c r="L78" s="54"/>
      <c r="R78" s="176"/>
      <c r="S78" s="176">
        <f>U78/POWER(10,12)</f>
        <v>1.044E-11</v>
      </c>
      <c r="T78" s="54" t="s">
        <v>857</v>
      </c>
      <c r="U78" s="54">
        <v>10.44</v>
      </c>
      <c r="V78" s="54" t="s">
        <v>62</v>
      </c>
      <c r="W78" s="54" t="s">
        <v>62</v>
      </c>
    </row>
    <row r="79" spans="1:23" x14ac:dyDescent="0.35">
      <c r="A79" s="54">
        <v>88</v>
      </c>
      <c r="B79" s="99">
        <v>3</v>
      </c>
      <c r="C79" s="54" t="s">
        <v>662</v>
      </c>
      <c r="D79" s="54" t="s">
        <v>856</v>
      </c>
      <c r="E79" s="130" t="s">
        <v>854</v>
      </c>
      <c r="F79" s="54" t="s">
        <v>1434</v>
      </c>
      <c r="G79" s="99"/>
      <c r="J79" s="54">
        <v>193.93</v>
      </c>
      <c r="K79" s="58">
        <f>J79/POWER(10,6)</f>
        <v>1.9393000000000001E-4</v>
      </c>
      <c r="L79" s="54"/>
      <c r="R79" s="176"/>
      <c r="S79" s="176">
        <f>U79/POWER(10,12)</f>
        <v>1.0599999999999999E-11</v>
      </c>
      <c r="T79" s="54" t="s">
        <v>857</v>
      </c>
      <c r="U79" s="54">
        <v>10.6</v>
      </c>
      <c r="V79" s="54" t="s">
        <v>62</v>
      </c>
      <c r="W79" s="54" t="s">
        <v>62</v>
      </c>
    </row>
    <row r="80" spans="1:23" x14ac:dyDescent="0.35">
      <c r="A80" s="54">
        <v>89</v>
      </c>
      <c r="B80" s="99">
        <v>3</v>
      </c>
      <c r="C80" s="54" t="s">
        <v>662</v>
      </c>
      <c r="D80" s="54" t="s">
        <v>855</v>
      </c>
      <c r="E80" s="130" t="s">
        <v>852</v>
      </c>
      <c r="F80" s="54" t="s">
        <v>1434</v>
      </c>
      <c r="G80" s="99"/>
      <c r="J80" s="54">
        <v>135.03</v>
      </c>
      <c r="K80" s="58">
        <f>J80/POWER(10,6)</f>
        <v>1.3503000000000001E-4</v>
      </c>
      <c r="R80" s="176"/>
      <c r="S80" s="176">
        <f>U80/POWER(10,12)</f>
        <v>1.1410000000000001E-11</v>
      </c>
      <c r="T80" s="54" t="s">
        <v>857</v>
      </c>
      <c r="U80" s="54">
        <v>11.41</v>
      </c>
      <c r="V80" s="54" t="s">
        <v>62</v>
      </c>
      <c r="W80" s="54" t="s">
        <v>62</v>
      </c>
    </row>
    <row r="81" spans="1:23" x14ac:dyDescent="0.35">
      <c r="A81" s="54">
        <v>213</v>
      </c>
      <c r="B81" s="99">
        <v>3</v>
      </c>
      <c r="C81" s="54" t="s">
        <v>662</v>
      </c>
      <c r="D81" s="54" t="s">
        <v>573</v>
      </c>
      <c r="E81" s="130" t="s">
        <v>752</v>
      </c>
      <c r="F81" s="54" t="s">
        <v>1442</v>
      </c>
      <c r="G81" s="99">
        <v>4.5</v>
      </c>
      <c r="R81" s="176">
        <f>G81*POWER(10,-6)</f>
        <v>4.5000000000000001E-6</v>
      </c>
      <c r="S81" s="176">
        <f>V81/POWER(10,12)</f>
        <v>1.31E-11</v>
      </c>
      <c r="T81" s="54" t="s">
        <v>755</v>
      </c>
      <c r="U81" s="54" t="s">
        <v>62</v>
      </c>
      <c r="V81" s="54">
        <v>13.1</v>
      </c>
      <c r="W81" s="169" t="s">
        <v>1550</v>
      </c>
    </row>
    <row r="82" spans="1:23" x14ac:dyDescent="0.35">
      <c r="A82" s="54">
        <v>90</v>
      </c>
      <c r="B82" s="99">
        <v>3</v>
      </c>
      <c r="C82" s="54" t="s">
        <v>662</v>
      </c>
      <c r="D82" s="54" t="s">
        <v>856</v>
      </c>
      <c r="E82" s="130" t="s">
        <v>853</v>
      </c>
      <c r="F82" s="54" t="s">
        <v>1434</v>
      </c>
      <c r="G82" s="99"/>
      <c r="J82" s="54">
        <v>205.15</v>
      </c>
      <c r="K82" s="58">
        <f>J82/POWER(10,6)</f>
        <v>2.0515E-4</v>
      </c>
      <c r="L82" s="54"/>
      <c r="R82" s="176"/>
      <c r="S82" s="176">
        <f>U82/POWER(10,12)</f>
        <v>1.46E-11</v>
      </c>
      <c r="T82" s="54" t="s">
        <v>857</v>
      </c>
      <c r="U82" s="54">
        <v>14.6</v>
      </c>
      <c r="V82" s="54" t="s">
        <v>62</v>
      </c>
      <c r="W82" s="54" t="s">
        <v>62</v>
      </c>
    </row>
    <row r="83" spans="1:23" x14ac:dyDescent="0.35">
      <c r="A83" s="54">
        <v>91</v>
      </c>
      <c r="B83" s="99">
        <v>3</v>
      </c>
      <c r="C83" s="54" t="s">
        <v>662</v>
      </c>
      <c r="D83" s="54" t="s">
        <v>856</v>
      </c>
      <c r="E83" s="130" t="s">
        <v>852</v>
      </c>
      <c r="F83" s="54" t="s">
        <v>1434</v>
      </c>
      <c r="G83" s="99"/>
      <c r="J83" s="54">
        <v>231.49</v>
      </c>
      <c r="K83" s="58">
        <f>J83/POWER(10,6)</f>
        <v>2.3149000000000002E-4</v>
      </c>
      <c r="R83" s="176"/>
      <c r="S83" s="176">
        <f>U83/POWER(10,12)</f>
        <v>1.6780000000000002E-11</v>
      </c>
      <c r="T83" s="54" t="s">
        <v>857</v>
      </c>
      <c r="U83" s="54">
        <v>16.78</v>
      </c>
      <c r="V83" s="54" t="s">
        <v>62</v>
      </c>
      <c r="W83" s="54" t="s">
        <v>62</v>
      </c>
    </row>
    <row r="84" spans="1:23" x14ac:dyDescent="0.35">
      <c r="A84" s="54">
        <v>92</v>
      </c>
      <c r="B84" s="99">
        <v>3</v>
      </c>
      <c r="C84" s="54" t="s">
        <v>662</v>
      </c>
      <c r="D84" s="54" t="s">
        <v>855</v>
      </c>
      <c r="E84" s="130" t="s">
        <v>853</v>
      </c>
      <c r="F84" s="54" t="s">
        <v>1434</v>
      </c>
      <c r="G84" s="99"/>
      <c r="J84" s="54">
        <v>200.66</v>
      </c>
      <c r="K84" s="58">
        <f>J84/POWER(10,6)</f>
        <v>2.0065999999999999E-4</v>
      </c>
      <c r="L84" s="54"/>
      <c r="R84" s="176"/>
      <c r="S84" s="176">
        <f>U84/POWER(10,12)</f>
        <v>1.8539999999999998E-11</v>
      </c>
      <c r="T84" s="54" t="s">
        <v>857</v>
      </c>
      <c r="U84" s="54">
        <v>18.54</v>
      </c>
      <c r="V84" s="54" t="s">
        <v>62</v>
      </c>
      <c r="W84" s="54" t="s">
        <v>62</v>
      </c>
    </row>
    <row r="85" spans="1:23" x14ac:dyDescent="0.35">
      <c r="A85" s="54">
        <v>215</v>
      </c>
      <c r="B85" s="99">
        <v>3</v>
      </c>
      <c r="C85" s="54" t="s">
        <v>662</v>
      </c>
      <c r="D85" s="54" t="s">
        <v>573</v>
      </c>
      <c r="E85" s="130" t="s">
        <v>1250</v>
      </c>
      <c r="F85" s="54" t="s">
        <v>1443</v>
      </c>
      <c r="G85" s="99">
        <v>6.1</v>
      </c>
      <c r="R85" s="176">
        <f>G85*POWER(10,-6)</f>
        <v>6.0999999999999992E-6</v>
      </c>
      <c r="S85" s="176">
        <f>V85/POWER(10,12)</f>
        <v>2.1399999999999998E-11</v>
      </c>
      <c r="T85" s="54" t="s">
        <v>755</v>
      </c>
      <c r="U85" s="54" t="s">
        <v>62</v>
      </c>
      <c r="V85" s="54">
        <v>21.4</v>
      </c>
      <c r="W85" s="54" t="s">
        <v>62</v>
      </c>
    </row>
    <row r="86" spans="1:23" x14ac:dyDescent="0.35">
      <c r="A86" s="54">
        <v>216</v>
      </c>
      <c r="B86" s="99">
        <v>3</v>
      </c>
      <c r="C86" s="54" t="s">
        <v>662</v>
      </c>
      <c r="D86" s="54" t="s">
        <v>573</v>
      </c>
      <c r="E86" s="130" t="s">
        <v>752</v>
      </c>
      <c r="F86" s="54" t="s">
        <v>1442</v>
      </c>
      <c r="G86" s="99">
        <v>5.13</v>
      </c>
      <c r="R86" s="176">
        <f>G86*POWER(10,-6)</f>
        <v>5.13E-6</v>
      </c>
      <c r="S86" s="176">
        <f>V86/POWER(10,12)</f>
        <v>2.2600000000000001E-11</v>
      </c>
      <c r="T86" s="54" t="s">
        <v>755</v>
      </c>
      <c r="U86" s="54" t="s">
        <v>62</v>
      </c>
      <c r="V86" s="54">
        <v>22.6</v>
      </c>
      <c r="W86" s="54" t="s">
        <v>62</v>
      </c>
    </row>
    <row r="87" spans="1:23" x14ac:dyDescent="0.35">
      <c r="A87" s="54">
        <v>93</v>
      </c>
      <c r="B87" s="99">
        <v>3</v>
      </c>
      <c r="C87" s="54" t="s">
        <v>662</v>
      </c>
      <c r="D87" s="55" t="s">
        <v>419</v>
      </c>
      <c r="E87" s="130" t="s">
        <v>108</v>
      </c>
      <c r="F87" s="54" t="s">
        <v>62</v>
      </c>
      <c r="G87" s="99">
        <v>15</v>
      </c>
      <c r="I87" s="58">
        <v>2.7488935718910689E-5</v>
      </c>
      <c r="J87" s="56">
        <v>196.34954084936206</v>
      </c>
      <c r="K87" s="58">
        <f>J87/1000000</f>
        <v>1.9634954084936205E-4</v>
      </c>
      <c r="R87" s="176">
        <f>G87*POWER(10,-6)</f>
        <v>1.4999999999999999E-5</v>
      </c>
      <c r="S87" s="176">
        <f>I87/1000000</f>
        <v>2.7488935718910689E-11</v>
      </c>
      <c r="T87" s="54" t="s">
        <v>109</v>
      </c>
      <c r="V87" s="50" t="s">
        <v>62</v>
      </c>
      <c r="W87" s="54" t="s">
        <v>62</v>
      </c>
    </row>
    <row r="88" spans="1:23" x14ac:dyDescent="0.35">
      <c r="A88" s="54">
        <v>217</v>
      </c>
      <c r="B88" s="99">
        <v>3</v>
      </c>
      <c r="C88" s="54" t="s">
        <v>662</v>
      </c>
      <c r="D88" s="54" t="s">
        <v>573</v>
      </c>
      <c r="E88" s="130" t="s">
        <v>751</v>
      </c>
      <c r="F88" s="54" t="s">
        <v>1442</v>
      </c>
      <c r="G88" s="99">
        <v>6.3</v>
      </c>
      <c r="R88" s="176">
        <f>G88*POWER(10,-6)</f>
        <v>6.2999999999999998E-6</v>
      </c>
      <c r="S88" s="176">
        <f>V88/POWER(10,12)</f>
        <v>2.82E-11</v>
      </c>
      <c r="T88" s="54" t="s">
        <v>755</v>
      </c>
      <c r="U88" s="54" t="s">
        <v>62</v>
      </c>
      <c r="V88" s="54">
        <v>28.2</v>
      </c>
      <c r="W88" s="54" t="s">
        <v>62</v>
      </c>
    </row>
    <row r="89" spans="1:23" x14ac:dyDescent="0.35">
      <c r="A89" s="54">
        <v>220</v>
      </c>
      <c r="B89" s="99">
        <v>3</v>
      </c>
      <c r="C89" s="54" t="s">
        <v>662</v>
      </c>
      <c r="D89" s="54" t="s">
        <v>573</v>
      </c>
      <c r="E89" s="130" t="s">
        <v>1251</v>
      </c>
      <c r="F89" s="54" t="s">
        <v>1444</v>
      </c>
      <c r="G89" s="99">
        <v>6.3</v>
      </c>
      <c r="R89" s="176">
        <f>G89*POWER(10,-6)</f>
        <v>6.2999999999999998E-6</v>
      </c>
      <c r="S89" s="176">
        <f>V89/POWER(10,12)</f>
        <v>4.2799999999999997E-11</v>
      </c>
      <c r="T89" s="54" t="s">
        <v>755</v>
      </c>
      <c r="U89" s="54" t="s">
        <v>62</v>
      </c>
      <c r="V89" s="54">
        <v>42.8</v>
      </c>
      <c r="W89" s="54" t="s">
        <v>62</v>
      </c>
    </row>
    <row r="90" spans="1:23" x14ac:dyDescent="0.35">
      <c r="A90" s="54">
        <v>94</v>
      </c>
      <c r="B90" s="99">
        <v>3</v>
      </c>
      <c r="C90" s="54" t="s">
        <v>662</v>
      </c>
      <c r="D90" s="55" t="s">
        <v>848</v>
      </c>
      <c r="E90" s="130" t="s">
        <v>97</v>
      </c>
      <c r="F90" s="54" t="s">
        <v>1434</v>
      </c>
      <c r="G90" s="99"/>
      <c r="I90" s="58">
        <f>V90/POWER(10,6)</f>
        <v>4.8000000000000001E-5</v>
      </c>
      <c r="J90" s="54">
        <v>180</v>
      </c>
      <c r="K90" s="58">
        <f>J90/POWER(10,6)</f>
        <v>1.8000000000000001E-4</v>
      </c>
      <c r="R90" s="176"/>
      <c r="S90" s="176">
        <f>I90/1000000</f>
        <v>4.8000000000000002E-11</v>
      </c>
      <c r="T90" s="54" t="s">
        <v>98</v>
      </c>
      <c r="U90" s="54" t="s">
        <v>99</v>
      </c>
      <c r="V90" s="54">
        <v>48</v>
      </c>
      <c r="W90" s="54" t="s">
        <v>62</v>
      </c>
    </row>
    <row r="91" spans="1:23" x14ac:dyDescent="0.35">
      <c r="A91" s="54">
        <v>95</v>
      </c>
      <c r="B91" s="99">
        <v>3</v>
      </c>
      <c r="C91" s="54" t="s">
        <v>662</v>
      </c>
      <c r="D91" s="55" t="s">
        <v>848</v>
      </c>
      <c r="E91" s="130" t="s">
        <v>1029</v>
      </c>
      <c r="F91" s="54" t="s">
        <v>1434</v>
      </c>
      <c r="G91" s="99"/>
      <c r="I91" s="58">
        <f>S91*1000000</f>
        <v>5.5249696969697002E-5</v>
      </c>
      <c r="R91" s="176"/>
      <c r="S91" s="176">
        <v>5.5249696969697003E-11</v>
      </c>
      <c r="T91" s="54" t="s">
        <v>3</v>
      </c>
      <c r="U91" s="58"/>
      <c r="V91" s="54" t="s">
        <v>62</v>
      </c>
      <c r="W91" s="54" t="s">
        <v>62</v>
      </c>
    </row>
    <row r="92" spans="1:23" x14ac:dyDescent="0.35">
      <c r="A92" s="54">
        <v>96</v>
      </c>
      <c r="B92" s="99">
        <v>3</v>
      </c>
      <c r="C92" s="54" t="s">
        <v>662</v>
      </c>
      <c r="D92" s="54" t="s">
        <v>856</v>
      </c>
      <c r="E92" s="130" t="s">
        <v>851</v>
      </c>
      <c r="F92" s="54" t="s">
        <v>1434</v>
      </c>
      <c r="G92" s="99"/>
      <c r="J92" s="54">
        <v>1551.47</v>
      </c>
      <c r="K92" s="58">
        <f>J92/POWER(10,6)</f>
        <v>1.5514700000000001E-3</v>
      </c>
      <c r="R92" s="176"/>
      <c r="S92" s="176">
        <f>U92/POWER(10,12)</f>
        <v>5.7700000000000005E-11</v>
      </c>
      <c r="T92" s="54" t="s">
        <v>857</v>
      </c>
      <c r="U92" s="54">
        <v>57.7</v>
      </c>
      <c r="V92" s="54" t="s">
        <v>62</v>
      </c>
      <c r="W92" s="54" t="s">
        <v>62</v>
      </c>
    </row>
    <row r="93" spans="1:23" x14ac:dyDescent="0.35">
      <c r="A93" s="54">
        <v>97</v>
      </c>
      <c r="B93" s="99">
        <v>3</v>
      </c>
      <c r="C93" s="54" t="s">
        <v>662</v>
      </c>
      <c r="D93" s="54" t="s">
        <v>855</v>
      </c>
      <c r="E93" s="130" t="s">
        <v>851</v>
      </c>
      <c r="F93" s="54" t="s">
        <v>1434</v>
      </c>
      <c r="G93" s="99"/>
      <c r="J93" s="54">
        <v>1515.11</v>
      </c>
      <c r="K93" s="58">
        <f>J93/POWER(10,6)</f>
        <v>1.5151099999999999E-3</v>
      </c>
      <c r="R93" s="176"/>
      <c r="S93" s="176">
        <f>U93/POWER(10,12)</f>
        <v>6.3529999999999999E-11</v>
      </c>
      <c r="T93" s="54" t="s">
        <v>857</v>
      </c>
      <c r="U93" s="54">
        <v>63.53</v>
      </c>
      <c r="V93" s="54" t="s">
        <v>62</v>
      </c>
      <c r="W93" s="54" t="s">
        <v>62</v>
      </c>
    </row>
    <row r="94" spans="1:23" x14ac:dyDescent="0.35">
      <c r="A94" s="54">
        <v>222</v>
      </c>
      <c r="B94" s="99">
        <v>3</v>
      </c>
      <c r="C94" s="54" t="s">
        <v>662</v>
      </c>
      <c r="D94" s="54" t="s">
        <v>573</v>
      </c>
      <c r="E94" s="130" t="s">
        <v>751</v>
      </c>
      <c r="F94" s="54" t="s">
        <v>1442</v>
      </c>
      <c r="G94" s="99">
        <v>6.7</v>
      </c>
      <c r="R94" s="176">
        <f>G94*POWER(10,-6)</f>
        <v>6.7000000000000002E-6</v>
      </c>
      <c r="S94" s="176">
        <f>V94/POWER(10,12)</f>
        <v>6.3699999999999997E-11</v>
      </c>
      <c r="T94" s="54" t="s">
        <v>755</v>
      </c>
      <c r="U94" s="54" t="s">
        <v>62</v>
      </c>
      <c r="V94" s="54">
        <v>63.7</v>
      </c>
      <c r="W94" s="54" t="s">
        <v>62</v>
      </c>
    </row>
    <row r="95" spans="1:23" x14ac:dyDescent="0.35">
      <c r="A95" s="54">
        <v>225</v>
      </c>
      <c r="B95" s="99">
        <v>3</v>
      </c>
      <c r="C95" s="54" t="s">
        <v>662</v>
      </c>
      <c r="D95" s="54" t="s">
        <v>573</v>
      </c>
      <c r="E95" s="130" t="s">
        <v>753</v>
      </c>
      <c r="F95" s="54" t="s">
        <v>1442</v>
      </c>
      <c r="G95" s="99">
        <v>17</v>
      </c>
      <c r="R95" s="176">
        <f>G95*POWER(10,-6)</f>
        <v>1.7E-5</v>
      </c>
      <c r="S95" s="176">
        <f>V95/POWER(10,12)</f>
        <v>2.9300000000000002E-10</v>
      </c>
      <c r="T95" s="54" t="s">
        <v>755</v>
      </c>
      <c r="U95" s="54" t="s">
        <v>62</v>
      </c>
      <c r="V95" s="54">
        <v>293</v>
      </c>
      <c r="W95" s="54" t="s">
        <v>62</v>
      </c>
    </row>
    <row r="96" spans="1:23" x14ac:dyDescent="0.35">
      <c r="A96" s="54">
        <v>98</v>
      </c>
      <c r="B96" s="99">
        <v>3</v>
      </c>
      <c r="C96" s="54" t="s">
        <v>662</v>
      </c>
      <c r="D96" s="55" t="s">
        <v>700</v>
      </c>
      <c r="E96" s="130" t="s">
        <v>542</v>
      </c>
      <c r="F96" s="54" t="s">
        <v>62</v>
      </c>
      <c r="G96" s="99"/>
      <c r="R96" s="176"/>
      <c r="S96" s="176">
        <f>V96*(POWER(10,-12))</f>
        <v>7.8999999999999996E-10</v>
      </c>
      <c r="T96" s="54" t="s">
        <v>543</v>
      </c>
      <c r="V96" s="54">
        <v>790</v>
      </c>
      <c r="W96" s="54" t="s">
        <v>62</v>
      </c>
    </row>
    <row r="97" spans="1:23" x14ac:dyDescent="0.35">
      <c r="A97" s="54">
        <v>251</v>
      </c>
      <c r="B97" s="99">
        <v>3</v>
      </c>
      <c r="C97" s="54" t="s">
        <v>662</v>
      </c>
      <c r="D97" s="54" t="s">
        <v>1024</v>
      </c>
      <c r="E97" s="130" t="s">
        <v>425</v>
      </c>
      <c r="F97" s="54" t="s">
        <v>62</v>
      </c>
      <c r="G97" s="99"/>
      <c r="R97" s="176"/>
      <c r="S97" s="177">
        <f>V97/POWER(10,9)</f>
        <v>1.0000000000000001E-9</v>
      </c>
      <c r="T97" s="54" t="s">
        <v>424</v>
      </c>
      <c r="U97" s="54" t="s">
        <v>1039</v>
      </c>
      <c r="V97" s="54">
        <v>1</v>
      </c>
      <c r="W97" s="54" t="s">
        <v>62</v>
      </c>
    </row>
    <row r="98" spans="1:23" x14ac:dyDescent="0.35">
      <c r="A98" s="54">
        <v>212</v>
      </c>
      <c r="B98" s="99">
        <v>3</v>
      </c>
      <c r="C98" s="54" t="s">
        <v>662</v>
      </c>
      <c r="D98" s="55" t="s">
        <v>699</v>
      </c>
      <c r="E98" s="130" t="s">
        <v>567</v>
      </c>
      <c r="F98" s="54" t="s">
        <v>1437</v>
      </c>
      <c r="G98" s="99"/>
      <c r="R98" s="176"/>
      <c r="S98" s="176">
        <f>10000*POWER(10,-12)</f>
        <v>1E-8</v>
      </c>
      <c r="T98" s="54" t="s">
        <v>568</v>
      </c>
      <c r="U98" s="171" t="s">
        <v>1551</v>
      </c>
      <c r="V98" s="54" t="s">
        <v>62</v>
      </c>
      <c r="W98" s="54" t="s">
        <v>62</v>
      </c>
    </row>
    <row r="99" spans="1:23" x14ac:dyDescent="0.35">
      <c r="A99" s="54">
        <v>214</v>
      </c>
      <c r="B99" s="99">
        <v>3</v>
      </c>
      <c r="C99" s="54" t="s">
        <v>662</v>
      </c>
      <c r="D99" s="55" t="s">
        <v>700</v>
      </c>
      <c r="E99" s="130" t="s">
        <v>550</v>
      </c>
      <c r="F99" s="54" t="s">
        <v>62</v>
      </c>
      <c r="G99" s="99"/>
      <c r="R99" s="176"/>
      <c r="S99" s="176">
        <f>V99*(POWER(10,-12))</f>
        <v>1.9192999999999999E-8</v>
      </c>
      <c r="T99" s="54" t="s">
        <v>543</v>
      </c>
      <c r="V99" s="54">
        <v>19193</v>
      </c>
      <c r="W99" s="54" t="s">
        <v>62</v>
      </c>
    </row>
    <row r="100" spans="1:23" x14ac:dyDescent="0.35">
      <c r="A100" s="54">
        <v>218</v>
      </c>
      <c r="B100" s="99">
        <v>3</v>
      </c>
      <c r="C100" s="54" t="s">
        <v>662</v>
      </c>
      <c r="D100" s="55" t="s">
        <v>848</v>
      </c>
      <c r="E100" s="130" t="s">
        <v>101</v>
      </c>
      <c r="F100" s="54" t="s">
        <v>1434</v>
      </c>
      <c r="G100" s="99"/>
      <c r="I100" s="58">
        <f>V100/POWER(10,6)</f>
        <v>0.03</v>
      </c>
      <c r="J100" s="54">
        <f>2.8*POWER(10,5)</f>
        <v>280000</v>
      </c>
      <c r="K100" s="58">
        <f>J100/POWER(10,6)</f>
        <v>0.28000000000000003</v>
      </c>
      <c r="R100" s="176"/>
      <c r="S100" s="176">
        <f>I100/1000000</f>
        <v>2.9999999999999997E-8</v>
      </c>
      <c r="T100" s="54" t="s">
        <v>98</v>
      </c>
      <c r="V100" s="54">
        <f>3*POWER(10,4)</f>
        <v>30000</v>
      </c>
      <c r="W100" s="54" t="s">
        <v>62</v>
      </c>
    </row>
    <row r="101" spans="1:23" x14ac:dyDescent="0.35">
      <c r="A101" s="54">
        <v>219</v>
      </c>
      <c r="B101" s="99">
        <v>3</v>
      </c>
      <c r="C101" s="54" t="s">
        <v>662</v>
      </c>
      <c r="D101" s="54" t="s">
        <v>748</v>
      </c>
      <c r="E101" s="130" t="s">
        <v>749</v>
      </c>
      <c r="F101" s="54" t="s">
        <v>62</v>
      </c>
      <c r="G101" s="99"/>
      <c r="R101" s="176"/>
      <c r="S101" s="176">
        <f>32.73/POWER(10,9)</f>
        <v>3.2729999999999996E-8</v>
      </c>
      <c r="T101" s="54" t="s">
        <v>747</v>
      </c>
      <c r="U101" s="54" t="s">
        <v>745</v>
      </c>
      <c r="V101" s="54">
        <v>32.729999999999997</v>
      </c>
      <c r="W101" s="54" t="s">
        <v>62</v>
      </c>
    </row>
    <row r="102" spans="1:23" x14ac:dyDescent="0.35">
      <c r="A102" s="54">
        <v>221</v>
      </c>
      <c r="B102" s="99">
        <v>3</v>
      </c>
      <c r="C102" s="54" t="s">
        <v>662</v>
      </c>
      <c r="D102" s="54" t="s">
        <v>419</v>
      </c>
      <c r="E102" s="130" t="s">
        <v>1297</v>
      </c>
      <c r="F102" s="54" t="s">
        <v>62</v>
      </c>
      <c r="R102" s="176"/>
      <c r="S102" s="176">
        <f>V102*(POWER(10,-12))</f>
        <v>5.4399999999999997E-8</v>
      </c>
      <c r="T102" s="54" t="s">
        <v>1296</v>
      </c>
      <c r="U102" s="54" t="s">
        <v>1295</v>
      </c>
      <c r="V102" s="54">
        <v>54400</v>
      </c>
      <c r="W102" s="54" t="s">
        <v>62</v>
      </c>
    </row>
    <row r="103" spans="1:23" x14ac:dyDescent="0.35">
      <c r="A103" s="54">
        <v>223</v>
      </c>
      <c r="B103" s="167">
        <v>3</v>
      </c>
      <c r="C103" s="50" t="s">
        <v>662</v>
      </c>
      <c r="D103" s="54" t="s">
        <v>848</v>
      </c>
      <c r="E103" s="54" t="s">
        <v>95</v>
      </c>
      <c r="F103" s="54" t="s">
        <v>1434</v>
      </c>
      <c r="R103" s="176"/>
      <c r="S103" s="176">
        <v>2.4708780530501281E-7</v>
      </c>
      <c r="T103" s="54" t="s">
        <v>1260</v>
      </c>
      <c r="U103" s="50" t="s">
        <v>1262</v>
      </c>
      <c r="V103" s="50" t="s">
        <v>62</v>
      </c>
      <c r="W103" s="54" t="s">
        <v>62</v>
      </c>
    </row>
    <row r="104" spans="1:23" x14ac:dyDescent="0.35">
      <c r="A104" s="54">
        <v>224</v>
      </c>
      <c r="B104" s="99">
        <v>3</v>
      </c>
      <c r="C104" s="54" t="s">
        <v>662</v>
      </c>
      <c r="D104" s="54" t="s">
        <v>748</v>
      </c>
      <c r="E104" s="130" t="s">
        <v>750</v>
      </c>
      <c r="F104" s="54" t="s">
        <v>62</v>
      </c>
      <c r="G104" s="99"/>
      <c r="R104" s="176"/>
      <c r="S104" s="176">
        <f>251.49/POWER(10,9)</f>
        <v>2.5148999999999998E-7</v>
      </c>
      <c r="T104" s="54" t="s">
        <v>747</v>
      </c>
      <c r="U104" s="54" t="s">
        <v>745</v>
      </c>
      <c r="V104" s="54">
        <v>251.49</v>
      </c>
      <c r="W104" s="54" t="s">
        <v>62</v>
      </c>
    </row>
    <row r="105" spans="1:23" x14ac:dyDescent="0.35">
      <c r="A105" s="54">
        <v>226</v>
      </c>
      <c r="B105" s="99">
        <v>3</v>
      </c>
      <c r="C105" s="54" t="s">
        <v>662</v>
      </c>
      <c r="D105" s="54" t="s">
        <v>419</v>
      </c>
      <c r="E105" s="130" t="s">
        <v>1298</v>
      </c>
      <c r="F105" s="54" t="s">
        <v>62</v>
      </c>
      <c r="R105" s="176"/>
      <c r="S105" s="176">
        <f>V105*(POWER(10,-12))</f>
        <v>6.7999999999999995E-7</v>
      </c>
      <c r="T105" s="54" t="s">
        <v>1296</v>
      </c>
      <c r="U105" s="54" t="s">
        <v>1295</v>
      </c>
      <c r="V105" s="54">
        <v>680000</v>
      </c>
      <c r="W105" s="54" t="s">
        <v>1486</v>
      </c>
    </row>
    <row r="106" spans="1:23" x14ac:dyDescent="0.35">
      <c r="A106" s="54">
        <v>227</v>
      </c>
      <c r="B106" s="167">
        <v>3</v>
      </c>
      <c r="C106" s="50" t="s">
        <v>662</v>
      </c>
      <c r="D106" s="54" t="s">
        <v>847</v>
      </c>
      <c r="E106" s="54" t="s">
        <v>95</v>
      </c>
      <c r="F106" s="54" t="s">
        <v>1433</v>
      </c>
      <c r="R106" s="176"/>
      <c r="S106" s="176">
        <v>1.0294359379367277E-6</v>
      </c>
      <c r="T106" s="54" t="s">
        <v>1260</v>
      </c>
      <c r="U106" s="50" t="s">
        <v>1262</v>
      </c>
      <c r="V106" s="50" t="s">
        <v>62</v>
      </c>
      <c r="W106" s="54" t="s">
        <v>62</v>
      </c>
    </row>
    <row r="107" spans="1:23" x14ac:dyDescent="0.35">
      <c r="A107" s="54">
        <v>228</v>
      </c>
      <c r="B107" s="99">
        <v>3</v>
      </c>
      <c r="C107" s="54" t="s">
        <v>662</v>
      </c>
      <c r="D107" s="54" t="s">
        <v>427</v>
      </c>
      <c r="E107" s="130" t="s">
        <v>62</v>
      </c>
      <c r="F107" s="54" t="s">
        <v>62</v>
      </c>
      <c r="G107" s="99"/>
      <c r="R107" s="176"/>
      <c r="S107" s="176">
        <v>1.0316799727931413E-6</v>
      </c>
      <c r="T107" s="54" t="s">
        <v>424</v>
      </c>
      <c r="U107" s="57" t="s">
        <v>1484</v>
      </c>
      <c r="V107" s="54" t="s">
        <v>62</v>
      </c>
      <c r="W107" s="54" t="s">
        <v>62</v>
      </c>
    </row>
    <row r="108" spans="1:23" x14ac:dyDescent="0.35">
      <c r="A108" s="54">
        <v>229</v>
      </c>
      <c r="B108" s="99">
        <v>3</v>
      </c>
      <c r="C108" s="54" t="s">
        <v>662</v>
      </c>
      <c r="D108" s="55" t="s">
        <v>419</v>
      </c>
      <c r="E108" s="130" t="s">
        <v>1252</v>
      </c>
      <c r="F108" s="54" t="s">
        <v>62</v>
      </c>
      <c r="G108" s="99">
        <v>3310</v>
      </c>
      <c r="I108" s="58">
        <v>1.8801286659413292</v>
      </c>
      <c r="J108" s="56">
        <v>13429490.471009493</v>
      </c>
      <c r="K108" s="58">
        <f>J108/1000000</f>
        <v>13.429490471009492</v>
      </c>
      <c r="R108" s="176">
        <f>G108*POWER(10,-6)</f>
        <v>3.31E-3</v>
      </c>
      <c r="S108" s="176">
        <f>I108/1000000</f>
        <v>1.8801286659413292E-6</v>
      </c>
      <c r="T108" s="54" t="s">
        <v>109</v>
      </c>
      <c r="V108" s="54" t="s">
        <v>62</v>
      </c>
      <c r="W108" s="54" t="s">
        <v>62</v>
      </c>
    </row>
    <row r="109" spans="1:23" x14ac:dyDescent="0.35">
      <c r="A109" s="54">
        <v>230</v>
      </c>
      <c r="B109" s="167">
        <v>3</v>
      </c>
      <c r="C109" s="50" t="s">
        <v>662</v>
      </c>
      <c r="D109" s="54" t="s">
        <v>1259</v>
      </c>
      <c r="E109" s="54" t="s">
        <v>1258</v>
      </c>
      <c r="F109" s="54" t="s">
        <v>1434</v>
      </c>
      <c r="R109" s="176"/>
      <c r="S109" s="176">
        <v>9.9922492831814979E-6</v>
      </c>
      <c r="T109" s="54" t="s">
        <v>1256</v>
      </c>
      <c r="U109" s="50" t="s">
        <v>20</v>
      </c>
      <c r="V109" s="50" t="s">
        <v>62</v>
      </c>
      <c r="W109" s="50" t="s">
        <v>62</v>
      </c>
    </row>
    <row r="110" spans="1:23" x14ac:dyDescent="0.35">
      <c r="A110" s="54">
        <v>231</v>
      </c>
      <c r="B110" s="99">
        <v>3</v>
      </c>
      <c r="C110" s="54" t="s">
        <v>662</v>
      </c>
      <c r="D110" s="55" t="s">
        <v>701</v>
      </c>
      <c r="E110" s="130" t="s">
        <v>106</v>
      </c>
      <c r="F110" s="54" t="s">
        <v>1445</v>
      </c>
      <c r="G110" s="99">
        <f>H110*1000</f>
        <v>1.06</v>
      </c>
      <c r="H110" s="58">
        <f>0.000106*10</f>
        <v>1.06E-3</v>
      </c>
      <c r="J110" s="55"/>
      <c r="R110" s="176">
        <f t="shared" ref="R110:R117" si="2">G110*POWER(10,-6)</f>
        <v>1.06E-6</v>
      </c>
      <c r="S110" s="176"/>
      <c r="T110" s="54" t="s">
        <v>447</v>
      </c>
      <c r="U110" s="54" t="s">
        <v>56</v>
      </c>
      <c r="V110" s="54" t="s">
        <v>62</v>
      </c>
      <c r="W110" s="54" t="s">
        <v>62</v>
      </c>
    </row>
    <row r="111" spans="1:23" x14ac:dyDescent="0.35">
      <c r="A111" s="54">
        <v>232</v>
      </c>
      <c r="B111" s="99">
        <v>3</v>
      </c>
      <c r="C111" s="54" t="s">
        <v>662</v>
      </c>
      <c r="D111" s="55" t="s">
        <v>702</v>
      </c>
      <c r="E111" s="130" t="s">
        <v>107</v>
      </c>
      <c r="F111" s="54" t="s">
        <v>62</v>
      </c>
      <c r="G111" s="99">
        <f>H111*1000</f>
        <v>1.4999999999999998</v>
      </c>
      <c r="H111" s="58">
        <f>0.00015*10</f>
        <v>1.4999999999999998E-3</v>
      </c>
      <c r="J111" s="55"/>
      <c r="R111" s="176">
        <f t="shared" si="2"/>
        <v>1.4999999999999996E-6</v>
      </c>
      <c r="S111" s="176"/>
      <c r="T111" s="54" t="s">
        <v>447</v>
      </c>
      <c r="U111" s="54" t="s">
        <v>56</v>
      </c>
      <c r="V111" s="54" t="s">
        <v>62</v>
      </c>
      <c r="W111" s="54" t="s">
        <v>62</v>
      </c>
    </row>
    <row r="112" spans="1:23" x14ac:dyDescent="0.35">
      <c r="A112" s="54">
        <v>233</v>
      </c>
      <c r="B112" s="99">
        <v>3</v>
      </c>
      <c r="C112" s="54" t="s">
        <v>662</v>
      </c>
      <c r="D112" s="55" t="s">
        <v>701</v>
      </c>
      <c r="E112" s="130" t="s">
        <v>103</v>
      </c>
      <c r="F112" s="54" t="s">
        <v>1547</v>
      </c>
      <c r="G112" s="99">
        <v>2</v>
      </c>
      <c r="R112" s="176">
        <f t="shared" si="2"/>
        <v>1.9999999999999999E-6</v>
      </c>
      <c r="S112" s="176"/>
      <c r="T112" s="54" t="s">
        <v>104</v>
      </c>
      <c r="U112" s="54" t="s">
        <v>105</v>
      </c>
      <c r="V112" s="54" t="s">
        <v>62</v>
      </c>
      <c r="W112" s="54" t="s">
        <v>62</v>
      </c>
    </row>
    <row r="113" spans="1:23" x14ac:dyDescent="0.35">
      <c r="A113" s="54">
        <v>234</v>
      </c>
      <c r="B113" s="99">
        <v>3</v>
      </c>
      <c r="C113" s="54" t="s">
        <v>662</v>
      </c>
      <c r="D113" s="54" t="s">
        <v>406</v>
      </c>
      <c r="E113" s="130" t="s">
        <v>692</v>
      </c>
      <c r="F113" s="54" t="s">
        <v>62</v>
      </c>
      <c r="G113" s="99">
        <v>3</v>
      </c>
      <c r="R113" s="176">
        <f t="shared" si="2"/>
        <v>3.0000000000000001E-6</v>
      </c>
      <c r="S113" s="176"/>
      <c r="T113" s="54" t="s">
        <v>693</v>
      </c>
      <c r="V113" s="54" t="s">
        <v>62</v>
      </c>
      <c r="W113" s="54" t="s">
        <v>62</v>
      </c>
    </row>
    <row r="114" spans="1:23" x14ac:dyDescent="0.35">
      <c r="A114" s="54">
        <v>235</v>
      </c>
      <c r="B114" s="167">
        <v>3</v>
      </c>
      <c r="C114" s="50" t="s">
        <v>662</v>
      </c>
      <c r="D114" s="54" t="s">
        <v>1482</v>
      </c>
      <c r="E114" s="130" t="s">
        <v>1266</v>
      </c>
      <c r="F114" s="54" t="s">
        <v>62</v>
      </c>
      <c r="G114" s="137">
        <v>5</v>
      </c>
      <c r="R114" s="176">
        <f t="shared" si="2"/>
        <v>4.9999999999999996E-6</v>
      </c>
      <c r="S114" s="176"/>
      <c r="T114" s="54" t="s">
        <v>689</v>
      </c>
      <c r="U114" s="54" t="s">
        <v>1267</v>
      </c>
      <c r="V114" s="50" t="s">
        <v>62</v>
      </c>
      <c r="W114" s="50" t="s">
        <v>62</v>
      </c>
    </row>
    <row r="115" spans="1:23" x14ac:dyDescent="0.35">
      <c r="A115" s="54">
        <v>236</v>
      </c>
      <c r="B115" s="99">
        <v>3</v>
      </c>
      <c r="C115" s="54" t="s">
        <v>662</v>
      </c>
      <c r="D115" s="54" t="s">
        <v>1482</v>
      </c>
      <c r="E115" s="130" t="s">
        <v>688</v>
      </c>
      <c r="F115" s="54" t="s">
        <v>62</v>
      </c>
      <c r="G115" s="99">
        <v>9</v>
      </c>
      <c r="R115" s="176">
        <f t="shared" si="2"/>
        <v>9.0000000000000002E-6</v>
      </c>
      <c r="S115" s="176"/>
      <c r="T115" s="54" t="s">
        <v>689</v>
      </c>
      <c r="V115" s="54" t="s">
        <v>62</v>
      </c>
      <c r="W115" s="54" t="s">
        <v>62</v>
      </c>
    </row>
    <row r="116" spans="1:23" x14ac:dyDescent="0.35">
      <c r="A116" s="54">
        <v>237</v>
      </c>
      <c r="B116" s="99">
        <v>3</v>
      </c>
      <c r="C116" s="54" t="s">
        <v>662</v>
      </c>
      <c r="D116" s="54" t="s">
        <v>406</v>
      </c>
      <c r="E116" s="130" t="s">
        <v>692</v>
      </c>
      <c r="F116" s="54" t="s">
        <v>62</v>
      </c>
      <c r="G116" s="99">
        <v>10</v>
      </c>
      <c r="R116" s="176">
        <f t="shared" si="2"/>
        <v>9.9999999999999991E-6</v>
      </c>
      <c r="S116" s="176"/>
      <c r="T116" s="54" t="s">
        <v>693</v>
      </c>
      <c r="V116" s="54" t="s">
        <v>62</v>
      </c>
      <c r="W116" s="54" t="s">
        <v>62</v>
      </c>
    </row>
    <row r="117" spans="1:23" x14ac:dyDescent="0.35">
      <c r="A117" s="54">
        <v>238</v>
      </c>
      <c r="B117" s="99">
        <v>3</v>
      </c>
      <c r="C117" s="54" t="s">
        <v>662</v>
      </c>
      <c r="D117" s="54" t="s">
        <v>406</v>
      </c>
      <c r="E117" s="130" t="s">
        <v>690</v>
      </c>
      <c r="F117" s="54" t="s">
        <v>62</v>
      </c>
      <c r="G117" s="99">
        <v>15</v>
      </c>
      <c r="R117" s="176">
        <f t="shared" si="2"/>
        <v>1.4999999999999999E-5</v>
      </c>
      <c r="S117" s="176"/>
      <c r="T117" s="54" t="s">
        <v>691</v>
      </c>
      <c r="V117" s="54" t="s">
        <v>62</v>
      </c>
      <c r="W117" s="54" t="s">
        <v>62</v>
      </c>
    </row>
    <row r="118" spans="1:23" x14ac:dyDescent="0.35">
      <c r="A118" s="54">
        <v>239</v>
      </c>
      <c r="B118" s="99">
        <v>3</v>
      </c>
      <c r="C118" s="54" t="s">
        <v>662</v>
      </c>
      <c r="D118" s="55" t="s">
        <v>700</v>
      </c>
      <c r="E118" s="130" t="s">
        <v>122</v>
      </c>
      <c r="F118" s="54" t="s">
        <v>62</v>
      </c>
      <c r="G118" s="99">
        <v>15</v>
      </c>
      <c r="R118" s="176">
        <f>G118/POWER(10,6)</f>
        <v>1.5E-5</v>
      </c>
      <c r="S118" s="176"/>
      <c r="T118" s="54" t="s">
        <v>445</v>
      </c>
      <c r="U118" s="54" t="s">
        <v>123</v>
      </c>
      <c r="V118" s="54" t="s">
        <v>62</v>
      </c>
      <c r="W118" s="54" t="s">
        <v>62</v>
      </c>
    </row>
    <row r="119" spans="1:23" x14ac:dyDescent="0.35">
      <c r="A119" s="54">
        <v>240</v>
      </c>
      <c r="B119" s="99">
        <v>3</v>
      </c>
      <c r="C119" s="54" t="s">
        <v>662</v>
      </c>
      <c r="D119" s="54" t="s">
        <v>818</v>
      </c>
      <c r="E119" s="130" t="s">
        <v>816</v>
      </c>
      <c r="F119" s="54" t="s">
        <v>1434</v>
      </c>
      <c r="G119" s="99">
        <v>20</v>
      </c>
      <c r="R119" s="176">
        <f t="shared" ref="R119:R126" si="3">G119*POWER(10,-6)</f>
        <v>1.9999999999999998E-5</v>
      </c>
      <c r="S119" s="176"/>
      <c r="T119" s="54" t="s">
        <v>814</v>
      </c>
      <c r="U119" s="54" t="s">
        <v>62</v>
      </c>
      <c r="V119" s="54" t="s">
        <v>62</v>
      </c>
      <c r="W119" s="54" t="s">
        <v>62</v>
      </c>
    </row>
    <row r="120" spans="1:23" x14ac:dyDescent="0.35">
      <c r="A120" s="54">
        <v>241</v>
      </c>
      <c r="B120" s="99">
        <v>3</v>
      </c>
      <c r="C120" s="54" t="s">
        <v>662</v>
      </c>
      <c r="D120" s="54" t="s">
        <v>406</v>
      </c>
      <c r="E120" s="130" t="s">
        <v>690</v>
      </c>
      <c r="F120" s="54" t="s">
        <v>62</v>
      </c>
      <c r="G120" s="99">
        <v>25</v>
      </c>
      <c r="R120" s="176">
        <f t="shared" si="3"/>
        <v>2.4999999999999998E-5</v>
      </c>
      <c r="S120" s="176"/>
      <c r="T120" s="54" t="s">
        <v>691</v>
      </c>
      <c r="V120" s="54" t="s">
        <v>62</v>
      </c>
      <c r="W120" s="54" t="s">
        <v>62</v>
      </c>
    </row>
    <row r="121" spans="1:23" x14ac:dyDescent="0.35">
      <c r="A121" s="54">
        <v>242</v>
      </c>
      <c r="B121" s="99">
        <v>3</v>
      </c>
      <c r="C121" s="54" t="s">
        <v>662</v>
      </c>
      <c r="D121" s="54" t="s">
        <v>818</v>
      </c>
      <c r="E121" s="130" t="s">
        <v>815</v>
      </c>
      <c r="F121" s="54" t="s">
        <v>1434</v>
      </c>
      <c r="G121" s="99">
        <v>30</v>
      </c>
      <c r="R121" s="176">
        <f t="shared" si="3"/>
        <v>2.9999999999999997E-5</v>
      </c>
      <c r="S121" s="176"/>
      <c r="T121" s="54" t="s">
        <v>814</v>
      </c>
      <c r="U121" s="54" t="s">
        <v>62</v>
      </c>
      <c r="V121" s="54" t="s">
        <v>62</v>
      </c>
      <c r="W121" s="54" t="s">
        <v>62</v>
      </c>
    </row>
    <row r="122" spans="1:23" x14ac:dyDescent="0.35">
      <c r="A122" s="54">
        <v>243</v>
      </c>
      <c r="B122" s="99">
        <v>3</v>
      </c>
      <c r="C122" s="54" t="s">
        <v>662</v>
      </c>
      <c r="D122" s="55" t="s">
        <v>702</v>
      </c>
      <c r="E122" s="130" t="s">
        <v>110</v>
      </c>
      <c r="F122" s="54" t="s">
        <v>1446</v>
      </c>
      <c r="G122" s="99">
        <f>H122*1000</f>
        <v>54.5</v>
      </c>
      <c r="H122" s="58">
        <f>0.00545*10</f>
        <v>5.45E-2</v>
      </c>
      <c r="J122" s="55"/>
      <c r="R122" s="176">
        <f t="shared" si="3"/>
        <v>5.4499999999999997E-5</v>
      </c>
      <c r="S122" s="176"/>
      <c r="T122" s="54" t="s">
        <v>447</v>
      </c>
      <c r="U122" s="54" t="s">
        <v>56</v>
      </c>
      <c r="V122" s="54" t="s">
        <v>62</v>
      </c>
      <c r="W122" s="54" t="s">
        <v>62</v>
      </c>
    </row>
    <row r="123" spans="1:23" x14ac:dyDescent="0.35">
      <c r="A123" s="54">
        <v>244</v>
      </c>
      <c r="B123" s="99">
        <v>3</v>
      </c>
      <c r="C123" s="54" t="s">
        <v>662</v>
      </c>
      <c r="D123" s="54" t="s">
        <v>818</v>
      </c>
      <c r="E123" s="130" t="s">
        <v>817</v>
      </c>
      <c r="F123" s="54" t="s">
        <v>1434</v>
      </c>
      <c r="G123" s="99">
        <v>75</v>
      </c>
      <c r="R123" s="176">
        <f t="shared" si="3"/>
        <v>7.4999999999999993E-5</v>
      </c>
      <c r="S123" s="176"/>
      <c r="T123" s="54" t="s">
        <v>814</v>
      </c>
      <c r="U123" s="54" t="s">
        <v>62</v>
      </c>
      <c r="V123" s="54" t="s">
        <v>62</v>
      </c>
      <c r="W123" s="54" t="s">
        <v>62</v>
      </c>
    </row>
    <row r="124" spans="1:23" x14ac:dyDescent="0.35">
      <c r="A124" s="54">
        <v>245</v>
      </c>
      <c r="B124" s="167">
        <v>3</v>
      </c>
      <c r="C124" s="50" t="s">
        <v>662</v>
      </c>
      <c r="D124" s="54" t="s">
        <v>1482</v>
      </c>
      <c r="E124" s="130" t="s">
        <v>1265</v>
      </c>
      <c r="F124" s="54" t="s">
        <v>62</v>
      </c>
      <c r="G124" s="137">
        <v>480</v>
      </c>
      <c r="R124" s="176">
        <f t="shared" si="3"/>
        <v>4.7999999999999996E-4</v>
      </c>
      <c r="S124" s="176"/>
      <c r="T124" s="54" t="s">
        <v>689</v>
      </c>
      <c r="U124" s="54" t="s">
        <v>1267</v>
      </c>
      <c r="V124" s="50" t="s">
        <v>62</v>
      </c>
      <c r="W124" s="50" t="s">
        <v>62</v>
      </c>
    </row>
    <row r="125" spans="1:23" x14ac:dyDescent="0.35">
      <c r="A125" s="54">
        <v>246</v>
      </c>
      <c r="B125" s="99">
        <v>3</v>
      </c>
      <c r="C125" s="54" t="s">
        <v>662</v>
      </c>
      <c r="D125" s="55" t="s">
        <v>701</v>
      </c>
      <c r="E125" s="130" t="s">
        <v>111</v>
      </c>
      <c r="F125" s="54" t="s">
        <v>1434</v>
      </c>
      <c r="G125" s="99">
        <f>H125*1000</f>
        <v>1008.8110000000001</v>
      </c>
      <c r="H125" s="58">
        <f>0.1008811*10</f>
        <v>1.0088110000000001</v>
      </c>
      <c r="J125" s="55"/>
      <c r="R125" s="176">
        <f t="shared" si="3"/>
        <v>1.0088110000000001E-3</v>
      </c>
      <c r="S125" s="176"/>
      <c r="T125" s="54" t="s">
        <v>447</v>
      </c>
      <c r="U125" s="54" t="s">
        <v>56</v>
      </c>
      <c r="V125" s="54" t="s">
        <v>62</v>
      </c>
      <c r="W125" s="54" t="s">
        <v>62</v>
      </c>
    </row>
    <row r="126" spans="1:23" x14ac:dyDescent="0.35">
      <c r="A126" s="54">
        <v>247</v>
      </c>
      <c r="B126" s="99">
        <v>3</v>
      </c>
      <c r="C126" s="54" t="s">
        <v>662</v>
      </c>
      <c r="D126" s="54" t="s">
        <v>419</v>
      </c>
      <c r="E126" s="130" t="s">
        <v>420</v>
      </c>
      <c r="F126" s="54" t="s">
        <v>62</v>
      </c>
      <c r="G126" s="99">
        <v>1500</v>
      </c>
      <c r="R126" s="176">
        <f t="shared" si="3"/>
        <v>1.5E-3</v>
      </c>
      <c r="S126" s="176"/>
      <c r="T126" s="54" t="s">
        <v>421</v>
      </c>
      <c r="V126" s="54" t="s">
        <v>62</v>
      </c>
      <c r="W126" s="54" t="s">
        <v>62</v>
      </c>
    </row>
    <row r="127" spans="1:23" x14ac:dyDescent="0.35">
      <c r="A127" s="54">
        <v>248</v>
      </c>
      <c r="B127" s="99">
        <v>3</v>
      </c>
      <c r="C127" s="54" t="s">
        <v>662</v>
      </c>
      <c r="D127" s="55" t="s">
        <v>419</v>
      </c>
      <c r="E127" s="130" t="s">
        <v>124</v>
      </c>
      <c r="F127" s="54" t="s">
        <v>62</v>
      </c>
      <c r="G127" s="99">
        <v>2000</v>
      </c>
      <c r="R127" s="176">
        <f>G127/POWER(10,6)</f>
        <v>2E-3</v>
      </c>
      <c r="S127" s="176"/>
      <c r="T127" s="54" t="s">
        <v>446</v>
      </c>
      <c r="U127" s="54" t="s">
        <v>125</v>
      </c>
      <c r="V127" s="54" t="s">
        <v>62</v>
      </c>
      <c r="W127" s="54" t="s">
        <v>62</v>
      </c>
    </row>
    <row r="128" spans="1:23" x14ac:dyDescent="0.35">
      <c r="A128" s="54">
        <v>249</v>
      </c>
      <c r="B128" s="99">
        <v>3</v>
      </c>
      <c r="C128" s="54" t="s">
        <v>662</v>
      </c>
      <c r="D128" s="54" t="s">
        <v>417</v>
      </c>
      <c r="E128" s="130" t="s">
        <v>415</v>
      </c>
      <c r="F128" s="54" t="s">
        <v>62</v>
      </c>
      <c r="G128" s="99"/>
      <c r="Q128" s="58">
        <v>5.0000000000000002E-11</v>
      </c>
      <c r="R128" s="176"/>
      <c r="S128" s="176"/>
      <c r="T128" s="54" t="s">
        <v>413</v>
      </c>
      <c r="V128" s="50" t="s">
        <v>62</v>
      </c>
      <c r="W128" s="54" t="s">
        <v>62</v>
      </c>
    </row>
    <row r="129" spans="1:23" x14ac:dyDescent="0.35">
      <c r="A129" s="54">
        <v>250</v>
      </c>
      <c r="B129" s="99">
        <v>3</v>
      </c>
      <c r="C129" s="54" t="s">
        <v>662</v>
      </c>
      <c r="D129" s="59" t="s">
        <v>419</v>
      </c>
      <c r="E129" s="131" t="s">
        <v>409</v>
      </c>
      <c r="F129" s="54" t="s">
        <v>62</v>
      </c>
      <c r="G129" s="140"/>
      <c r="H129" s="52"/>
      <c r="I129" s="84"/>
      <c r="J129" s="61"/>
      <c r="K129" s="84"/>
      <c r="L129" s="84"/>
      <c r="M129" s="52"/>
      <c r="N129" s="52">
        <v>3E-10</v>
      </c>
      <c r="O129" s="84"/>
      <c r="P129" s="52"/>
      <c r="Q129" s="173"/>
      <c r="R129" s="177"/>
      <c r="S129" s="177"/>
      <c r="T129" s="50" t="s">
        <v>446</v>
      </c>
      <c r="U129" s="96"/>
      <c r="V129" s="50" t="s">
        <v>62</v>
      </c>
      <c r="W129" s="54" t="s">
        <v>62</v>
      </c>
    </row>
    <row r="130" spans="1:23" x14ac:dyDescent="0.35">
      <c r="A130" s="54">
        <v>252</v>
      </c>
      <c r="B130" s="99">
        <v>3</v>
      </c>
      <c r="C130" s="54" t="s">
        <v>662</v>
      </c>
      <c r="D130" s="55" t="s">
        <v>419</v>
      </c>
      <c r="E130" s="130" t="s">
        <v>410</v>
      </c>
      <c r="F130" s="54" t="s">
        <v>62</v>
      </c>
      <c r="G130" s="99"/>
      <c r="J130" s="56"/>
      <c r="L130" s="58">
        <f>N130*POWER(10,6)</f>
        <v>12</v>
      </c>
      <c r="M130" s="58">
        <f>N130*POWER(10,3)</f>
        <v>1.2E-2</v>
      </c>
      <c r="N130" s="58">
        <v>1.2E-5</v>
      </c>
      <c r="Q130" s="174"/>
      <c r="R130" s="176"/>
      <c r="S130" s="176"/>
      <c r="T130" s="54" t="s">
        <v>446</v>
      </c>
      <c r="U130" s="170"/>
      <c r="V130" s="54" t="s">
        <v>62</v>
      </c>
      <c r="W130" s="54" t="s">
        <v>62</v>
      </c>
    </row>
    <row r="131" spans="1:23" x14ac:dyDescent="0.35">
      <c r="A131" s="54">
        <v>253</v>
      </c>
      <c r="B131" s="99">
        <v>3</v>
      </c>
      <c r="C131" s="54" t="s">
        <v>662</v>
      </c>
      <c r="D131" s="54" t="s">
        <v>1025</v>
      </c>
      <c r="E131" s="130" t="s">
        <v>416</v>
      </c>
      <c r="F131" s="54" t="s">
        <v>62</v>
      </c>
      <c r="G131" s="99"/>
      <c r="Q131" s="58">
        <v>3.4999999999999997E-5</v>
      </c>
      <c r="R131" s="176"/>
      <c r="S131" s="176"/>
      <c r="T131" s="54" t="s">
        <v>413</v>
      </c>
      <c r="V131" s="54" t="s">
        <v>62</v>
      </c>
      <c r="W131" s="54" t="s">
        <v>62</v>
      </c>
    </row>
    <row r="132" spans="1:23" x14ac:dyDescent="0.35">
      <c r="A132" s="54">
        <v>254</v>
      </c>
      <c r="B132" s="99">
        <v>3</v>
      </c>
      <c r="C132" s="54" t="s">
        <v>662</v>
      </c>
      <c r="D132" s="55" t="s">
        <v>847</v>
      </c>
      <c r="E132" s="130" t="s">
        <v>100</v>
      </c>
      <c r="F132" s="54" t="s">
        <v>1433</v>
      </c>
      <c r="G132" s="99"/>
      <c r="R132" s="176"/>
      <c r="S132" s="176"/>
      <c r="T132" s="54" t="s">
        <v>98</v>
      </c>
      <c r="V132" s="54" t="s">
        <v>62</v>
      </c>
      <c r="W132" s="54" t="s">
        <v>62</v>
      </c>
    </row>
    <row r="133" spans="1:23" x14ac:dyDescent="0.35">
      <c r="A133" s="54">
        <v>255</v>
      </c>
      <c r="B133" s="99">
        <v>3</v>
      </c>
      <c r="C133" s="54" t="s">
        <v>662</v>
      </c>
      <c r="D133" s="55" t="s">
        <v>847</v>
      </c>
      <c r="E133" s="130" t="s">
        <v>102</v>
      </c>
      <c r="F133" s="54" t="s">
        <v>1433</v>
      </c>
      <c r="G133" s="99"/>
      <c r="R133" s="176"/>
      <c r="S133" s="176"/>
      <c r="T133" s="54" t="s">
        <v>98</v>
      </c>
      <c r="V133" s="54" t="s">
        <v>62</v>
      </c>
      <c r="W133" s="54" t="s">
        <v>62</v>
      </c>
    </row>
    <row r="134" spans="1:23" x14ac:dyDescent="0.35">
      <c r="A134" s="54">
        <v>256</v>
      </c>
      <c r="B134" s="99">
        <v>3</v>
      </c>
      <c r="C134" s="54" t="s">
        <v>662</v>
      </c>
      <c r="D134" s="55" t="s">
        <v>419</v>
      </c>
      <c r="E134" s="130" t="s">
        <v>112</v>
      </c>
      <c r="F134" s="54" t="s">
        <v>62</v>
      </c>
      <c r="G134" s="99"/>
      <c r="K134" s="58">
        <f>W134*1000000</f>
        <v>2.9610000000000001E-3</v>
      </c>
      <c r="R134" s="176"/>
      <c r="S134" s="176"/>
      <c r="T134" s="54" t="s">
        <v>113</v>
      </c>
      <c r="V134" s="54" t="s">
        <v>62</v>
      </c>
      <c r="W134" s="58">
        <f>0.002961/1000/1000</f>
        <v>2.961E-9</v>
      </c>
    </row>
    <row r="135" spans="1:23" x14ac:dyDescent="0.35">
      <c r="A135" s="54">
        <v>257</v>
      </c>
      <c r="B135" s="99">
        <v>3</v>
      </c>
      <c r="C135" s="54" t="s">
        <v>662</v>
      </c>
      <c r="D135" s="55" t="s">
        <v>419</v>
      </c>
      <c r="E135" s="130" t="s">
        <v>114</v>
      </c>
      <c r="F135" s="54" t="s">
        <v>62</v>
      </c>
      <c r="G135" s="99"/>
      <c r="K135" s="58">
        <f>W135*1000000</f>
        <v>0.21740000000000001</v>
      </c>
      <c r="R135" s="176"/>
      <c r="S135" s="176"/>
      <c r="T135" s="54" t="s">
        <v>113</v>
      </c>
      <c r="V135" s="54" t="s">
        <v>62</v>
      </c>
      <c r="W135" s="58">
        <f>0.2174/1000/1000</f>
        <v>2.174E-7</v>
      </c>
    </row>
    <row r="136" spans="1:23" x14ac:dyDescent="0.35">
      <c r="A136" s="54">
        <v>258</v>
      </c>
      <c r="B136" s="99">
        <v>3</v>
      </c>
      <c r="C136" s="54" t="s">
        <v>662</v>
      </c>
      <c r="D136" s="55" t="s">
        <v>1025</v>
      </c>
      <c r="E136" s="130" t="s">
        <v>1034</v>
      </c>
      <c r="F136" s="54" t="s">
        <v>62</v>
      </c>
      <c r="G136" s="99"/>
      <c r="J136" s="56">
        <v>497000</v>
      </c>
      <c r="K136" s="58">
        <f>J136/POWER(10,6)</f>
        <v>0.497</v>
      </c>
      <c r="R136" s="176"/>
      <c r="S136" s="176"/>
      <c r="T136" s="54" t="s">
        <v>115</v>
      </c>
      <c r="V136" s="54" t="s">
        <v>62</v>
      </c>
      <c r="W136" s="58">
        <f>K136/1000</f>
        <v>4.9700000000000005E-4</v>
      </c>
    </row>
    <row r="137" spans="1:23" x14ac:dyDescent="0.35">
      <c r="A137" s="54">
        <v>259</v>
      </c>
      <c r="B137" s="99">
        <v>3</v>
      </c>
      <c r="C137" s="54" t="s">
        <v>662</v>
      </c>
      <c r="D137" s="55" t="s">
        <v>699</v>
      </c>
      <c r="E137" s="130" t="s">
        <v>119</v>
      </c>
      <c r="F137" s="54" t="s">
        <v>1434</v>
      </c>
      <c r="G137" s="99"/>
      <c r="K137" s="58">
        <f>W137*1000000</f>
        <v>5.0000000000000001E-4</v>
      </c>
      <c r="R137" s="176"/>
      <c r="S137" s="176"/>
      <c r="T137" s="54" t="s">
        <v>120</v>
      </c>
      <c r="V137" s="54">
        <v>500</v>
      </c>
      <c r="W137" s="58">
        <f>V137*POWER(10,-12)</f>
        <v>5.0000000000000003E-10</v>
      </c>
    </row>
    <row r="138" spans="1:23" x14ac:dyDescent="0.35">
      <c r="A138" s="54">
        <v>260</v>
      </c>
      <c r="B138" s="99">
        <v>3</v>
      </c>
      <c r="C138" s="54" t="s">
        <v>662</v>
      </c>
      <c r="D138" s="55" t="s">
        <v>699</v>
      </c>
      <c r="E138" s="130" t="s">
        <v>121</v>
      </c>
      <c r="F138" s="54" t="s">
        <v>1434</v>
      </c>
      <c r="G138" s="99"/>
      <c r="K138" s="58">
        <f>W138*1000000</f>
        <v>5.7499999999999999E-3</v>
      </c>
      <c r="R138" s="176"/>
      <c r="S138" s="176"/>
      <c r="T138" s="54" t="s">
        <v>120</v>
      </c>
      <c r="V138" s="54">
        <v>5750</v>
      </c>
      <c r="W138" s="58">
        <f>V138*POWER(10,-12)</f>
        <v>5.7500000000000002E-9</v>
      </c>
    </row>
    <row r="139" spans="1:23" s="95" customFormat="1" x14ac:dyDescent="0.35">
      <c r="A139" s="54">
        <v>261</v>
      </c>
      <c r="B139" s="99">
        <v>3</v>
      </c>
      <c r="C139" s="54" t="s">
        <v>662</v>
      </c>
      <c r="D139" s="55" t="s">
        <v>848</v>
      </c>
      <c r="E139" s="130" t="s">
        <v>1026</v>
      </c>
      <c r="F139" s="54" t="s">
        <v>1434</v>
      </c>
      <c r="G139" s="99"/>
      <c r="H139" s="58"/>
      <c r="I139" s="58"/>
      <c r="J139" s="54"/>
      <c r="K139" s="58">
        <f>W139*1000000</f>
        <v>1.4E-3</v>
      </c>
      <c r="L139" s="58"/>
      <c r="M139" s="58"/>
      <c r="N139" s="58"/>
      <c r="O139" s="58"/>
      <c r="P139" s="58"/>
      <c r="Q139" s="58"/>
      <c r="R139" s="176"/>
      <c r="S139" s="176"/>
      <c r="T139" s="54" t="s">
        <v>120</v>
      </c>
      <c r="U139" s="54"/>
      <c r="V139" s="54">
        <v>1400</v>
      </c>
      <c r="W139" s="58">
        <f>V139*POWER(10,-12)</f>
        <v>1.3999999999999999E-9</v>
      </c>
    </row>
    <row r="140" spans="1:23" s="95" customFormat="1" x14ac:dyDescent="0.35">
      <c r="A140" s="54">
        <v>262</v>
      </c>
      <c r="B140" s="99">
        <v>3</v>
      </c>
      <c r="C140" s="54" t="s">
        <v>662</v>
      </c>
      <c r="D140" s="55" t="s">
        <v>419</v>
      </c>
      <c r="E140" s="130" t="s">
        <v>908</v>
      </c>
      <c r="F140" s="54" t="s">
        <v>62</v>
      </c>
      <c r="G140" s="99"/>
      <c r="H140" s="58"/>
      <c r="I140" s="58"/>
      <c r="J140" s="56"/>
      <c r="K140" s="58"/>
      <c r="L140" s="58">
        <f>V140*1000</f>
        <v>14.6</v>
      </c>
      <c r="M140" s="58">
        <f>L140/1000</f>
        <v>1.46E-2</v>
      </c>
      <c r="N140" s="58">
        <f>L140/POWER(10,6)</f>
        <v>1.4599999999999999E-5</v>
      </c>
      <c r="O140" s="58"/>
      <c r="P140" s="58"/>
      <c r="Q140" s="58"/>
      <c r="R140" s="176"/>
      <c r="S140" s="176"/>
      <c r="T140" s="54" t="s">
        <v>446</v>
      </c>
      <c r="U140" s="54"/>
      <c r="V140" s="54">
        <f>14600/POWER(10,6)</f>
        <v>1.46E-2</v>
      </c>
      <c r="W140" s="54" t="s">
        <v>62</v>
      </c>
    </row>
    <row r="141" spans="1:23" s="95" customFormat="1" x14ac:dyDescent="0.35">
      <c r="A141" s="54">
        <v>263</v>
      </c>
      <c r="B141" s="167">
        <v>3</v>
      </c>
      <c r="C141" s="50" t="s">
        <v>662</v>
      </c>
      <c r="D141" s="50" t="s">
        <v>107</v>
      </c>
      <c r="E141" s="50" t="s">
        <v>65</v>
      </c>
      <c r="F141" s="54" t="s">
        <v>1546</v>
      </c>
      <c r="G141" s="99"/>
      <c r="H141" s="58"/>
      <c r="I141" s="58"/>
      <c r="J141" s="60"/>
      <c r="K141" s="84"/>
      <c r="L141" s="58">
        <f t="shared" ref="L141:L146" si="4">N141*POWER(10,6)</f>
        <v>1E-8</v>
      </c>
      <c r="M141" s="58">
        <f t="shared" ref="M141:M146" si="5">N141*POWER(10,3)</f>
        <v>9.9999999999999994E-12</v>
      </c>
      <c r="N141" s="54">
        <v>1E-14</v>
      </c>
      <c r="O141" s="58"/>
      <c r="P141" s="52"/>
      <c r="Q141" s="52"/>
      <c r="R141" s="177"/>
      <c r="S141" s="177"/>
      <c r="T141" s="50" t="s">
        <v>57</v>
      </c>
      <c r="U141" s="50" t="s">
        <v>62</v>
      </c>
      <c r="V141" s="50" t="s">
        <v>62</v>
      </c>
      <c r="W141" s="50" t="s">
        <v>62</v>
      </c>
    </row>
    <row r="142" spans="1:23" s="95" customFormat="1" x14ac:dyDescent="0.35">
      <c r="A142" s="54">
        <v>264</v>
      </c>
      <c r="B142" s="167">
        <v>3</v>
      </c>
      <c r="C142" s="50" t="s">
        <v>662</v>
      </c>
      <c r="D142" s="50" t="s">
        <v>107</v>
      </c>
      <c r="E142" s="50" t="s">
        <v>95</v>
      </c>
      <c r="F142" s="54" t="s">
        <v>1546</v>
      </c>
      <c r="G142" s="99"/>
      <c r="H142" s="58"/>
      <c r="I142" s="58"/>
      <c r="J142" s="60"/>
      <c r="K142" s="84"/>
      <c r="L142" s="58">
        <f t="shared" si="4"/>
        <v>9.9999999999999991E-6</v>
      </c>
      <c r="M142" s="58">
        <f t="shared" si="5"/>
        <v>1E-8</v>
      </c>
      <c r="N142" s="54">
        <v>9.9999999999999994E-12</v>
      </c>
      <c r="O142" s="58"/>
      <c r="P142" s="52"/>
      <c r="Q142" s="52"/>
      <c r="R142" s="177"/>
      <c r="S142" s="177"/>
      <c r="T142" s="50" t="s">
        <v>57</v>
      </c>
      <c r="U142" s="50" t="s">
        <v>62</v>
      </c>
      <c r="V142" s="50" t="s">
        <v>62</v>
      </c>
      <c r="W142" s="50" t="s">
        <v>62</v>
      </c>
    </row>
    <row r="143" spans="1:23" s="96" customFormat="1" ht="10.5" x14ac:dyDescent="0.25">
      <c r="A143" s="54">
        <v>265</v>
      </c>
      <c r="B143" s="167">
        <v>3</v>
      </c>
      <c r="C143" s="50" t="s">
        <v>662</v>
      </c>
      <c r="D143" s="50" t="s">
        <v>866</v>
      </c>
      <c r="E143" s="50" t="s">
        <v>65</v>
      </c>
      <c r="F143" s="54" t="s">
        <v>1546</v>
      </c>
      <c r="G143" s="99"/>
      <c r="H143" s="58"/>
      <c r="I143" s="58"/>
      <c r="J143" s="60"/>
      <c r="K143" s="84"/>
      <c r="L143" s="58">
        <f t="shared" si="4"/>
        <v>9.9999999999999995E-7</v>
      </c>
      <c r="M143" s="58">
        <f t="shared" si="5"/>
        <v>1.0000000000000001E-9</v>
      </c>
      <c r="N143" s="54">
        <v>9.9999999999999998E-13</v>
      </c>
      <c r="O143" s="58"/>
      <c r="P143" s="52"/>
      <c r="Q143" s="52"/>
      <c r="R143" s="177"/>
      <c r="S143" s="177"/>
      <c r="T143" s="50" t="s">
        <v>57</v>
      </c>
      <c r="U143" s="50" t="s">
        <v>62</v>
      </c>
      <c r="V143" s="50" t="s">
        <v>62</v>
      </c>
      <c r="W143" s="50" t="s">
        <v>62</v>
      </c>
    </row>
    <row r="144" spans="1:23" s="95" customFormat="1" x14ac:dyDescent="0.35">
      <c r="A144" s="54">
        <v>266</v>
      </c>
      <c r="B144" s="167">
        <v>3</v>
      </c>
      <c r="C144" s="50" t="s">
        <v>662</v>
      </c>
      <c r="D144" s="50" t="s">
        <v>866</v>
      </c>
      <c r="E144" s="50" t="s">
        <v>95</v>
      </c>
      <c r="F144" s="54" t="s">
        <v>1546</v>
      </c>
      <c r="G144" s="99"/>
      <c r="H144" s="58"/>
      <c r="I144" s="58"/>
      <c r="J144" s="60"/>
      <c r="K144" s="84"/>
      <c r="L144" s="58">
        <f t="shared" si="4"/>
        <v>0.01</v>
      </c>
      <c r="M144" s="58">
        <f t="shared" si="5"/>
        <v>1.0000000000000001E-5</v>
      </c>
      <c r="N144" s="54">
        <v>1E-8</v>
      </c>
      <c r="O144" s="58"/>
      <c r="P144" s="52"/>
      <c r="Q144" s="52"/>
      <c r="R144" s="177"/>
      <c r="S144" s="177"/>
      <c r="T144" s="50" t="s">
        <v>57</v>
      </c>
      <c r="U144" s="50" t="s">
        <v>62</v>
      </c>
      <c r="V144" s="50" t="s">
        <v>62</v>
      </c>
      <c r="W144" s="50" t="s">
        <v>62</v>
      </c>
    </row>
    <row r="145" spans="1:23" x14ac:dyDescent="0.35">
      <c r="A145" s="54">
        <v>267</v>
      </c>
      <c r="B145" s="167">
        <v>3</v>
      </c>
      <c r="C145" s="50" t="s">
        <v>662</v>
      </c>
      <c r="D145" s="50" t="s">
        <v>867</v>
      </c>
      <c r="E145" s="50" t="s">
        <v>65</v>
      </c>
      <c r="F145" s="54" t="s">
        <v>1546</v>
      </c>
      <c r="G145" s="99"/>
      <c r="J145" s="60"/>
      <c r="K145" s="84"/>
      <c r="L145" s="58">
        <f t="shared" si="4"/>
        <v>1E-3</v>
      </c>
      <c r="M145" s="58">
        <f t="shared" si="5"/>
        <v>1.0000000000000002E-6</v>
      </c>
      <c r="N145" s="54">
        <v>1.0000000000000001E-9</v>
      </c>
      <c r="P145" s="52"/>
      <c r="Q145" s="52"/>
      <c r="R145" s="177"/>
      <c r="S145" s="177"/>
      <c r="T145" s="50" t="s">
        <v>57</v>
      </c>
      <c r="U145" s="50" t="s">
        <v>62</v>
      </c>
      <c r="V145" s="50" t="s">
        <v>62</v>
      </c>
      <c r="W145" s="50" t="s">
        <v>62</v>
      </c>
    </row>
    <row r="146" spans="1:23" x14ac:dyDescent="0.35">
      <c r="A146" s="54">
        <v>268</v>
      </c>
      <c r="B146" s="167">
        <v>3</v>
      </c>
      <c r="C146" s="50" t="s">
        <v>662</v>
      </c>
      <c r="D146" s="50" t="s">
        <v>867</v>
      </c>
      <c r="E146" s="50" t="s">
        <v>95</v>
      </c>
      <c r="F146" s="54" t="s">
        <v>1546</v>
      </c>
      <c r="G146" s="99"/>
      <c r="J146" s="60"/>
      <c r="K146" s="84"/>
      <c r="L146" s="58">
        <f t="shared" si="4"/>
        <v>10</v>
      </c>
      <c r="M146" s="58">
        <f t="shared" si="5"/>
        <v>0.01</v>
      </c>
      <c r="N146" s="54">
        <v>1.0000000000000001E-5</v>
      </c>
      <c r="P146" s="52"/>
      <c r="Q146" s="52"/>
      <c r="R146" s="177"/>
      <c r="S146" s="177"/>
      <c r="T146" s="50" t="s">
        <v>57</v>
      </c>
      <c r="U146" s="50" t="s">
        <v>62</v>
      </c>
      <c r="V146" s="50" t="s">
        <v>62</v>
      </c>
      <c r="W146" s="50" t="s">
        <v>62</v>
      </c>
    </row>
    <row r="147" spans="1:23" x14ac:dyDescent="0.35">
      <c r="A147" s="54">
        <v>269</v>
      </c>
      <c r="B147" s="167">
        <v>3</v>
      </c>
      <c r="C147" s="54" t="s">
        <v>662</v>
      </c>
      <c r="D147" s="54" t="s">
        <v>96</v>
      </c>
      <c r="E147" s="130" t="s">
        <v>652</v>
      </c>
      <c r="F147" s="54" t="s">
        <v>1546</v>
      </c>
      <c r="G147" s="99"/>
      <c r="R147" s="176"/>
      <c r="S147" s="176"/>
      <c r="T147" s="54" t="s">
        <v>572</v>
      </c>
      <c r="U147" s="50" t="s">
        <v>62</v>
      </c>
      <c r="V147" s="50" t="s">
        <v>62</v>
      </c>
      <c r="W147" s="50" t="s">
        <v>62</v>
      </c>
    </row>
    <row r="148" spans="1:23" x14ac:dyDescent="0.35">
      <c r="A148" s="54">
        <v>270</v>
      </c>
      <c r="B148" s="167">
        <v>3</v>
      </c>
      <c r="C148" s="54" t="s">
        <v>662</v>
      </c>
      <c r="D148" s="54" t="s">
        <v>1025</v>
      </c>
      <c r="E148" s="158" t="s">
        <v>698</v>
      </c>
      <c r="F148" s="54" t="s">
        <v>62</v>
      </c>
      <c r="G148" s="99"/>
      <c r="R148" s="176"/>
      <c r="S148" s="176"/>
      <c r="T148" s="172" t="s">
        <v>697</v>
      </c>
      <c r="U148" s="50" t="s">
        <v>62</v>
      </c>
      <c r="V148" s="50" t="s">
        <v>62</v>
      </c>
      <c r="W148" s="50" t="s">
        <v>62</v>
      </c>
    </row>
    <row r="149" spans="1:23" x14ac:dyDescent="0.35">
      <c r="A149" s="54">
        <v>271</v>
      </c>
      <c r="B149" s="99">
        <v>3</v>
      </c>
      <c r="C149" s="54" t="s">
        <v>662</v>
      </c>
      <c r="D149" s="54" t="s">
        <v>1269</v>
      </c>
      <c r="E149" s="130" t="s">
        <v>1272</v>
      </c>
      <c r="F149" s="54" t="s">
        <v>1434</v>
      </c>
      <c r="Q149" s="58">
        <v>1.024347849E-11</v>
      </c>
      <c r="R149" s="176"/>
      <c r="S149" s="176"/>
      <c r="T149" s="54" t="s">
        <v>1275</v>
      </c>
      <c r="U149" s="54" t="s">
        <v>1273</v>
      </c>
      <c r="V149" s="50" t="s">
        <v>62</v>
      </c>
      <c r="W149" s="50" t="s">
        <v>62</v>
      </c>
    </row>
    <row r="150" spans="1:23" x14ac:dyDescent="0.35">
      <c r="A150" s="54">
        <v>272</v>
      </c>
      <c r="B150" s="99">
        <v>3</v>
      </c>
      <c r="C150" s="54" t="s">
        <v>662</v>
      </c>
      <c r="D150" s="54" t="s">
        <v>1270</v>
      </c>
      <c r="E150" s="130" t="s">
        <v>1271</v>
      </c>
      <c r="F150" s="54" t="s">
        <v>1447</v>
      </c>
      <c r="Q150" s="58">
        <v>9.076323764E-7</v>
      </c>
      <c r="R150" s="176"/>
      <c r="S150" s="176"/>
      <c r="T150" s="54" t="s">
        <v>1275</v>
      </c>
      <c r="U150" s="54" t="s">
        <v>1273</v>
      </c>
      <c r="V150" s="50" t="s">
        <v>62</v>
      </c>
      <c r="W150" s="50" t="s">
        <v>62</v>
      </c>
    </row>
    <row r="151" spans="1:23" x14ac:dyDescent="0.35">
      <c r="A151" s="54">
        <v>273</v>
      </c>
      <c r="B151" s="99">
        <v>3</v>
      </c>
      <c r="C151" s="54" t="s">
        <v>662</v>
      </c>
      <c r="D151" s="54" t="s">
        <v>1278</v>
      </c>
      <c r="E151" s="54" t="s">
        <v>1263</v>
      </c>
      <c r="F151" s="54" t="s">
        <v>1448</v>
      </c>
      <c r="J151" s="137">
        <v>302</v>
      </c>
      <c r="K151" s="58">
        <f t="shared" ref="K151:K182" si="6">J151/POWER(10,6)</f>
        <v>3.0200000000000002E-4</v>
      </c>
      <c r="R151" s="176"/>
      <c r="S151" s="176"/>
      <c r="T151" s="54" t="s">
        <v>1286</v>
      </c>
      <c r="W151" s="50" t="s">
        <v>62</v>
      </c>
    </row>
    <row r="152" spans="1:23" x14ac:dyDescent="0.35">
      <c r="A152" s="54">
        <v>274</v>
      </c>
      <c r="B152" s="99">
        <v>3</v>
      </c>
      <c r="C152" s="54" t="s">
        <v>662</v>
      </c>
      <c r="D152" s="54" t="s">
        <v>1278</v>
      </c>
      <c r="E152" s="54" t="s">
        <v>1264</v>
      </c>
      <c r="F152" s="54" t="s">
        <v>1448</v>
      </c>
      <c r="J152" s="137">
        <v>1580000</v>
      </c>
      <c r="K152" s="58">
        <f t="shared" si="6"/>
        <v>1.58</v>
      </c>
      <c r="R152" s="176"/>
      <c r="S152" s="176"/>
      <c r="T152" s="54" t="s">
        <v>1286</v>
      </c>
      <c r="W152" s="50" t="s">
        <v>62</v>
      </c>
    </row>
    <row r="153" spans="1:23" x14ac:dyDescent="0.35">
      <c r="A153" s="54">
        <v>275</v>
      </c>
      <c r="B153" s="99">
        <v>3</v>
      </c>
      <c r="C153" s="54" t="s">
        <v>662</v>
      </c>
      <c r="D153" s="54" t="s">
        <v>1279</v>
      </c>
      <c r="E153" s="54" t="s">
        <v>1263</v>
      </c>
      <c r="F153" s="54" t="s">
        <v>1449</v>
      </c>
      <c r="J153" s="159">
        <v>36.700000000000003</v>
      </c>
      <c r="K153" s="58">
        <f t="shared" si="6"/>
        <v>3.6700000000000004E-5</v>
      </c>
      <c r="R153" s="176"/>
      <c r="S153" s="176"/>
      <c r="T153" s="54" t="s">
        <v>1286</v>
      </c>
      <c r="W153" s="50" t="s">
        <v>62</v>
      </c>
    </row>
    <row r="154" spans="1:23" x14ac:dyDescent="0.35">
      <c r="A154" s="54">
        <v>276</v>
      </c>
      <c r="B154" s="99">
        <v>3</v>
      </c>
      <c r="C154" s="54" t="s">
        <v>662</v>
      </c>
      <c r="D154" s="54" t="s">
        <v>1279</v>
      </c>
      <c r="E154" s="54" t="s">
        <v>1264</v>
      </c>
      <c r="F154" s="54" t="s">
        <v>1449</v>
      </c>
      <c r="J154" s="159">
        <v>594.5</v>
      </c>
      <c r="K154" s="58">
        <f t="shared" si="6"/>
        <v>5.9449999999999998E-4</v>
      </c>
      <c r="R154" s="176"/>
      <c r="S154" s="176"/>
      <c r="T154" s="54" t="s">
        <v>1286</v>
      </c>
      <c r="W154" s="50" t="s">
        <v>62</v>
      </c>
    </row>
    <row r="155" spans="1:23" x14ac:dyDescent="0.35">
      <c r="A155" s="54">
        <v>277</v>
      </c>
      <c r="B155" s="99">
        <v>3</v>
      </c>
      <c r="C155" s="54" t="s">
        <v>662</v>
      </c>
      <c r="D155" s="54" t="s">
        <v>1277</v>
      </c>
      <c r="E155" s="54" t="s">
        <v>1263</v>
      </c>
      <c r="F155" s="54" t="s">
        <v>1450</v>
      </c>
      <c r="J155" s="160">
        <v>0.49299999999999999</v>
      </c>
      <c r="K155" s="58">
        <f t="shared" si="6"/>
        <v>4.9299999999999998E-7</v>
      </c>
      <c r="R155" s="176"/>
      <c r="S155" s="176"/>
      <c r="T155" s="54" t="s">
        <v>1286</v>
      </c>
      <c r="W155" s="50" t="s">
        <v>62</v>
      </c>
    </row>
    <row r="156" spans="1:23" x14ac:dyDescent="0.35">
      <c r="A156" s="54">
        <v>278</v>
      </c>
      <c r="B156" s="99">
        <v>3</v>
      </c>
      <c r="C156" s="54" t="s">
        <v>662</v>
      </c>
      <c r="D156" s="54" t="s">
        <v>1277</v>
      </c>
      <c r="E156" s="54" t="s">
        <v>1264</v>
      </c>
      <c r="F156" s="54" t="s">
        <v>1450</v>
      </c>
      <c r="J156" s="137">
        <v>5060000</v>
      </c>
      <c r="K156" s="58">
        <f t="shared" si="6"/>
        <v>5.0599999999999996</v>
      </c>
      <c r="R156" s="176"/>
      <c r="S156" s="176"/>
      <c r="T156" s="54" t="s">
        <v>1286</v>
      </c>
      <c r="W156" s="50" t="s">
        <v>62</v>
      </c>
    </row>
    <row r="157" spans="1:23" x14ac:dyDescent="0.35">
      <c r="A157" s="54">
        <v>279</v>
      </c>
      <c r="B157" s="99">
        <v>3</v>
      </c>
      <c r="C157" s="54" t="s">
        <v>662</v>
      </c>
      <c r="D157" s="54" t="s">
        <v>1280</v>
      </c>
      <c r="E157" s="54" t="s">
        <v>1263</v>
      </c>
      <c r="F157" s="54" t="s">
        <v>1451</v>
      </c>
      <c r="J157" s="137">
        <v>47</v>
      </c>
      <c r="K157" s="58">
        <f t="shared" si="6"/>
        <v>4.6999999999999997E-5</v>
      </c>
      <c r="R157" s="176"/>
      <c r="S157" s="176"/>
      <c r="T157" s="54" t="s">
        <v>1286</v>
      </c>
      <c r="W157" s="50" t="s">
        <v>62</v>
      </c>
    </row>
    <row r="158" spans="1:23" x14ac:dyDescent="0.35">
      <c r="A158" s="54">
        <v>280</v>
      </c>
      <c r="B158" s="99">
        <v>3</v>
      </c>
      <c r="C158" s="54" t="s">
        <v>662</v>
      </c>
      <c r="D158" s="54" t="s">
        <v>1280</v>
      </c>
      <c r="E158" s="54" t="s">
        <v>1264</v>
      </c>
      <c r="F158" s="54" t="s">
        <v>1451</v>
      </c>
      <c r="J158" s="137">
        <v>4140</v>
      </c>
      <c r="K158" s="58">
        <f t="shared" si="6"/>
        <v>4.1399999999999996E-3</v>
      </c>
      <c r="R158" s="176"/>
      <c r="S158" s="176"/>
      <c r="T158" s="54" t="s">
        <v>1286</v>
      </c>
      <c r="W158" s="50" t="s">
        <v>62</v>
      </c>
    </row>
    <row r="159" spans="1:23" x14ac:dyDescent="0.35">
      <c r="A159" s="54">
        <v>281</v>
      </c>
      <c r="B159" s="99">
        <v>3</v>
      </c>
      <c r="C159" s="54" t="s">
        <v>662</v>
      </c>
      <c r="D159" s="54" t="s">
        <v>1281</v>
      </c>
      <c r="E159" s="54" t="s">
        <v>1263</v>
      </c>
      <c r="F159" s="54" t="s">
        <v>1433</v>
      </c>
      <c r="J159" s="137">
        <v>48</v>
      </c>
      <c r="K159" s="58">
        <f t="shared" si="6"/>
        <v>4.8000000000000001E-5</v>
      </c>
      <c r="R159" s="176"/>
      <c r="S159" s="176"/>
      <c r="T159" s="54" t="s">
        <v>1286</v>
      </c>
      <c r="W159" s="50" t="s">
        <v>62</v>
      </c>
    </row>
    <row r="160" spans="1:23" x14ac:dyDescent="0.35">
      <c r="A160" s="54">
        <v>282</v>
      </c>
      <c r="B160" s="99">
        <v>3</v>
      </c>
      <c r="C160" s="54" t="s">
        <v>662</v>
      </c>
      <c r="D160" s="54" t="s">
        <v>1281</v>
      </c>
      <c r="E160" s="54" t="s">
        <v>1264</v>
      </c>
      <c r="F160" s="54" t="s">
        <v>1433</v>
      </c>
      <c r="J160" s="137">
        <v>178000</v>
      </c>
      <c r="K160" s="58">
        <f t="shared" si="6"/>
        <v>0.17799999999999999</v>
      </c>
      <c r="R160" s="176"/>
      <c r="S160" s="176"/>
      <c r="T160" s="54" t="s">
        <v>1286</v>
      </c>
      <c r="W160" s="50" t="s">
        <v>62</v>
      </c>
    </row>
    <row r="161" spans="1:23" x14ac:dyDescent="0.35">
      <c r="A161" s="54">
        <v>283</v>
      </c>
      <c r="B161" s="99">
        <v>3</v>
      </c>
      <c r="C161" s="54" t="s">
        <v>662</v>
      </c>
      <c r="D161" s="54" t="s">
        <v>1282</v>
      </c>
      <c r="E161" s="54" t="s">
        <v>1263</v>
      </c>
      <c r="F161" s="54" t="s">
        <v>1452</v>
      </c>
      <c r="J161" s="137">
        <v>14700</v>
      </c>
      <c r="K161" s="58">
        <f t="shared" si="6"/>
        <v>1.47E-2</v>
      </c>
      <c r="R161" s="176"/>
      <c r="S161" s="176"/>
      <c r="T161" s="54" t="s">
        <v>1286</v>
      </c>
      <c r="W161" s="50" t="s">
        <v>62</v>
      </c>
    </row>
    <row r="162" spans="1:23" x14ac:dyDescent="0.35">
      <c r="A162" s="54">
        <v>284</v>
      </c>
      <c r="B162" s="99">
        <v>3</v>
      </c>
      <c r="C162" s="54" t="s">
        <v>662</v>
      </c>
      <c r="D162" s="54" t="s">
        <v>1282</v>
      </c>
      <c r="E162" s="54" t="s">
        <v>1264</v>
      </c>
      <c r="F162" s="54" t="s">
        <v>1452</v>
      </c>
      <c r="J162" s="137">
        <v>14700</v>
      </c>
      <c r="K162" s="58">
        <f t="shared" si="6"/>
        <v>1.47E-2</v>
      </c>
      <c r="R162" s="176"/>
      <c r="S162" s="176"/>
      <c r="T162" s="54" t="s">
        <v>1286</v>
      </c>
      <c r="W162" s="50" t="s">
        <v>62</v>
      </c>
    </row>
    <row r="163" spans="1:23" x14ac:dyDescent="0.35">
      <c r="A163" s="54">
        <v>285</v>
      </c>
      <c r="B163" s="99">
        <v>3</v>
      </c>
      <c r="C163" s="54" t="s">
        <v>662</v>
      </c>
      <c r="D163" s="54" t="s">
        <v>1283</v>
      </c>
      <c r="E163" s="54" t="s">
        <v>1263</v>
      </c>
      <c r="F163" s="54" t="s">
        <v>1453</v>
      </c>
      <c r="J163" s="137">
        <v>13</v>
      </c>
      <c r="K163" s="58">
        <f t="shared" si="6"/>
        <v>1.2999999999999999E-5</v>
      </c>
      <c r="R163" s="176"/>
      <c r="S163" s="176"/>
      <c r="T163" s="54" t="s">
        <v>1286</v>
      </c>
      <c r="W163" s="50" t="s">
        <v>62</v>
      </c>
    </row>
    <row r="164" spans="1:23" x14ac:dyDescent="0.35">
      <c r="A164" s="54">
        <v>286</v>
      </c>
      <c r="B164" s="99">
        <v>3</v>
      </c>
      <c r="C164" s="54" t="s">
        <v>662</v>
      </c>
      <c r="D164" s="54" t="s">
        <v>1283</v>
      </c>
      <c r="E164" s="54" t="s">
        <v>1264</v>
      </c>
      <c r="F164" s="54" t="s">
        <v>1453</v>
      </c>
      <c r="J164" s="137">
        <v>1290</v>
      </c>
      <c r="K164" s="58">
        <f t="shared" si="6"/>
        <v>1.2899999999999999E-3</v>
      </c>
      <c r="R164" s="176"/>
      <c r="S164" s="176"/>
      <c r="T164" s="54" t="s">
        <v>1286</v>
      </c>
      <c r="W164" s="50" t="s">
        <v>62</v>
      </c>
    </row>
    <row r="165" spans="1:23" x14ac:dyDescent="0.35">
      <c r="A165" s="54">
        <v>287</v>
      </c>
      <c r="B165" s="99">
        <v>3</v>
      </c>
      <c r="C165" s="54" t="s">
        <v>662</v>
      </c>
      <c r="D165" s="54" t="s">
        <v>1284</v>
      </c>
      <c r="E165" s="54" t="s">
        <v>1263</v>
      </c>
      <c r="F165" s="54" t="s">
        <v>1454</v>
      </c>
      <c r="J165" s="137">
        <v>6.29</v>
      </c>
      <c r="K165" s="58">
        <f t="shared" si="6"/>
        <v>6.2899999999999999E-6</v>
      </c>
      <c r="R165" s="176"/>
      <c r="S165" s="176"/>
      <c r="T165" s="54" t="s">
        <v>1286</v>
      </c>
      <c r="W165" s="50" t="s">
        <v>62</v>
      </c>
    </row>
    <row r="166" spans="1:23" x14ac:dyDescent="0.35">
      <c r="A166" s="54">
        <v>288</v>
      </c>
      <c r="B166" s="99">
        <v>3</v>
      </c>
      <c r="C166" s="54" t="s">
        <v>662</v>
      </c>
      <c r="D166" s="54" t="s">
        <v>1284</v>
      </c>
      <c r="E166" s="54" t="s">
        <v>1264</v>
      </c>
      <c r="F166" s="54" t="s">
        <v>1454</v>
      </c>
      <c r="J166" s="137">
        <v>11500</v>
      </c>
      <c r="K166" s="58">
        <f t="shared" si="6"/>
        <v>1.15E-2</v>
      </c>
      <c r="R166" s="176"/>
      <c r="S166" s="176"/>
      <c r="T166" s="54" t="s">
        <v>1286</v>
      </c>
      <c r="W166" s="50" t="s">
        <v>62</v>
      </c>
    </row>
    <row r="167" spans="1:23" x14ac:dyDescent="0.35">
      <c r="A167" s="54">
        <v>289</v>
      </c>
      <c r="B167" s="99">
        <v>3</v>
      </c>
      <c r="C167" s="54" t="s">
        <v>662</v>
      </c>
      <c r="D167" s="54" t="s">
        <v>1285</v>
      </c>
      <c r="E167" s="54" t="s">
        <v>1263</v>
      </c>
      <c r="F167" s="54" t="s">
        <v>1455</v>
      </c>
      <c r="J167" s="137">
        <v>131.62</v>
      </c>
      <c r="K167" s="58">
        <f t="shared" si="6"/>
        <v>1.3162000000000002E-4</v>
      </c>
      <c r="R167" s="176"/>
      <c r="S167" s="176"/>
      <c r="T167" s="54" t="s">
        <v>1286</v>
      </c>
      <c r="W167" s="50" t="s">
        <v>62</v>
      </c>
    </row>
    <row r="168" spans="1:23" x14ac:dyDescent="0.35">
      <c r="A168" s="54">
        <v>290</v>
      </c>
      <c r="B168" s="99">
        <v>3</v>
      </c>
      <c r="C168" s="54" t="s">
        <v>662</v>
      </c>
      <c r="D168" s="54" t="s">
        <v>1285</v>
      </c>
      <c r="E168" s="54" t="s">
        <v>1264</v>
      </c>
      <c r="F168" s="54" t="s">
        <v>1455</v>
      </c>
      <c r="J168" s="137">
        <v>3475.09</v>
      </c>
      <c r="K168" s="58">
        <f t="shared" si="6"/>
        <v>3.4750900000000001E-3</v>
      </c>
      <c r="R168" s="176"/>
      <c r="S168" s="176"/>
      <c r="T168" s="54" t="s">
        <v>1286</v>
      </c>
      <c r="W168" s="50" t="s">
        <v>62</v>
      </c>
    </row>
    <row r="169" spans="1:23" x14ac:dyDescent="0.35">
      <c r="A169" s="54">
        <v>291</v>
      </c>
      <c r="B169" s="99">
        <v>3</v>
      </c>
      <c r="C169" s="54" t="s">
        <v>662</v>
      </c>
      <c r="D169" s="54" t="s">
        <v>1021</v>
      </c>
      <c r="E169" s="54" t="s">
        <v>1263</v>
      </c>
      <c r="F169" s="54" t="s">
        <v>62</v>
      </c>
      <c r="J169" s="54">
        <f>POWER(10,V169)</f>
        <v>12.58925411794168</v>
      </c>
      <c r="K169" s="58">
        <f t="shared" si="6"/>
        <v>1.258925411794168E-5</v>
      </c>
      <c r="R169" s="176"/>
      <c r="S169" s="176"/>
      <c r="T169" s="54" t="s">
        <v>1291</v>
      </c>
      <c r="U169" s="54" t="s">
        <v>1292</v>
      </c>
      <c r="V169" s="54">
        <v>1.1000000000000001</v>
      </c>
      <c r="W169" s="50" t="s">
        <v>62</v>
      </c>
    </row>
    <row r="170" spans="1:23" x14ac:dyDescent="0.35">
      <c r="A170" s="54">
        <v>292</v>
      </c>
      <c r="B170" s="99">
        <v>3</v>
      </c>
      <c r="C170" s="54" t="s">
        <v>662</v>
      </c>
      <c r="D170" s="54" t="s">
        <v>1293</v>
      </c>
      <c r="E170" s="54" t="s">
        <v>1264</v>
      </c>
      <c r="F170" s="54" t="s">
        <v>62</v>
      </c>
      <c r="J170" s="54">
        <f>POWER(10,V170)</f>
        <v>125892541.17941682</v>
      </c>
      <c r="K170" s="58">
        <f t="shared" si="6"/>
        <v>125.89254117941682</v>
      </c>
      <c r="R170" s="176"/>
      <c r="S170" s="176"/>
      <c r="T170" s="54" t="s">
        <v>1291</v>
      </c>
      <c r="U170" s="54" t="s">
        <v>1292</v>
      </c>
      <c r="V170" s="54">
        <v>8.1</v>
      </c>
      <c r="W170" s="50" t="s">
        <v>62</v>
      </c>
    </row>
    <row r="171" spans="1:23" x14ac:dyDescent="0.35">
      <c r="A171" s="54">
        <v>293</v>
      </c>
      <c r="B171" s="99">
        <v>3</v>
      </c>
      <c r="C171" s="54" t="s">
        <v>662</v>
      </c>
      <c r="D171" s="54" t="s">
        <v>406</v>
      </c>
      <c r="E171" s="130" t="s">
        <v>1315</v>
      </c>
      <c r="F171" s="54" t="s">
        <v>62</v>
      </c>
      <c r="J171" s="137">
        <v>20</v>
      </c>
      <c r="K171" s="58">
        <f t="shared" si="6"/>
        <v>2.0000000000000002E-5</v>
      </c>
      <c r="Q171" s="58">
        <f t="shared" ref="Q171:Q206" si="7">V171*POWER(10,-9)</f>
        <v>6.6700000000000005E-12</v>
      </c>
      <c r="R171" s="176"/>
      <c r="S171" s="176"/>
      <c r="T171" s="54" t="s">
        <v>1349</v>
      </c>
      <c r="U171" s="54" t="s">
        <v>1350</v>
      </c>
      <c r="V171" s="58">
        <v>6.6699999999999997E-3</v>
      </c>
      <c r="W171" s="50" t="s">
        <v>62</v>
      </c>
    </row>
    <row r="172" spans="1:23" x14ac:dyDescent="0.35">
      <c r="A172" s="54">
        <v>294</v>
      </c>
      <c r="B172" s="99">
        <v>3</v>
      </c>
      <c r="C172" s="54" t="s">
        <v>662</v>
      </c>
      <c r="D172" s="54" t="s">
        <v>1316</v>
      </c>
      <c r="E172" s="130" t="s">
        <v>1317</v>
      </c>
      <c r="F172" s="54" t="s">
        <v>1466</v>
      </c>
      <c r="J172" s="137">
        <v>70000</v>
      </c>
      <c r="K172" s="58">
        <f t="shared" si="6"/>
        <v>7.0000000000000007E-2</v>
      </c>
      <c r="Q172" s="58">
        <f t="shared" si="7"/>
        <v>4.6666666666666671E-9</v>
      </c>
      <c r="R172" s="176"/>
      <c r="S172" s="176"/>
      <c r="T172" s="54" t="s">
        <v>1349</v>
      </c>
      <c r="U172" s="54" t="s">
        <v>1350</v>
      </c>
      <c r="V172" s="58">
        <v>4.666666666666667</v>
      </c>
      <c r="W172" s="50" t="s">
        <v>62</v>
      </c>
    </row>
    <row r="173" spans="1:23" x14ac:dyDescent="0.35">
      <c r="A173" s="54">
        <v>295</v>
      </c>
      <c r="B173" s="99">
        <v>3</v>
      </c>
      <c r="C173" s="54" t="s">
        <v>662</v>
      </c>
      <c r="D173" s="54" t="s">
        <v>1316</v>
      </c>
      <c r="E173" s="130" t="s">
        <v>1318</v>
      </c>
      <c r="F173" s="54" t="s">
        <v>1466</v>
      </c>
      <c r="J173" s="137">
        <v>166667</v>
      </c>
      <c r="K173" s="58">
        <f t="shared" si="6"/>
        <v>0.16666700000000001</v>
      </c>
      <c r="Q173" s="58">
        <f t="shared" si="7"/>
        <v>5.1516000000000003E-8</v>
      </c>
      <c r="R173" s="176"/>
      <c r="S173" s="176"/>
      <c r="T173" s="54" t="s">
        <v>1349</v>
      </c>
      <c r="U173" s="54" t="s">
        <v>1350</v>
      </c>
      <c r="V173" s="58">
        <v>51.515999999999998</v>
      </c>
      <c r="W173" s="50" t="s">
        <v>62</v>
      </c>
    </row>
    <row r="174" spans="1:23" x14ac:dyDescent="0.35">
      <c r="A174" s="54">
        <v>296</v>
      </c>
      <c r="B174" s="99">
        <v>3</v>
      </c>
      <c r="C174" s="54" t="s">
        <v>662</v>
      </c>
      <c r="D174" s="54" t="s">
        <v>1316</v>
      </c>
      <c r="E174" s="130" t="s">
        <v>112</v>
      </c>
      <c r="F174" s="54" t="s">
        <v>1466</v>
      </c>
      <c r="J174" s="137">
        <v>1270.6666666666667</v>
      </c>
      <c r="K174" s="58">
        <f t="shared" si="6"/>
        <v>1.2706666666666667E-3</v>
      </c>
      <c r="Q174" s="58">
        <f t="shared" si="7"/>
        <v>4.7124101892464071E-10</v>
      </c>
      <c r="R174" s="176"/>
      <c r="S174" s="176"/>
      <c r="T174" s="54" t="s">
        <v>1349</v>
      </c>
      <c r="U174" s="54" t="s">
        <v>1350</v>
      </c>
      <c r="V174" s="58">
        <v>0.47124101892464071</v>
      </c>
      <c r="W174" s="50" t="s">
        <v>62</v>
      </c>
    </row>
    <row r="175" spans="1:23" x14ac:dyDescent="0.35">
      <c r="A175" s="54">
        <v>297</v>
      </c>
      <c r="B175" s="99">
        <v>3</v>
      </c>
      <c r="C175" s="54" t="s">
        <v>662</v>
      </c>
      <c r="D175" s="54" t="s">
        <v>1316</v>
      </c>
      <c r="E175" s="130" t="s">
        <v>1319</v>
      </c>
      <c r="F175" s="54" t="s">
        <v>1466</v>
      </c>
      <c r="J175" s="137">
        <v>10745</v>
      </c>
      <c r="K175" s="58">
        <f t="shared" si="6"/>
        <v>1.0744999999999999E-2</v>
      </c>
      <c r="Q175" s="58">
        <f t="shared" si="7"/>
        <v>3.3333333333333338E-9</v>
      </c>
      <c r="R175" s="176"/>
      <c r="S175" s="176"/>
      <c r="T175" s="54" t="s">
        <v>1349</v>
      </c>
      <c r="U175" s="54" t="s">
        <v>1350</v>
      </c>
      <c r="V175" s="58">
        <v>3.3333333333333335</v>
      </c>
      <c r="W175" s="50" t="s">
        <v>62</v>
      </c>
    </row>
    <row r="176" spans="1:23" x14ac:dyDescent="0.35">
      <c r="A176" s="54">
        <v>298</v>
      </c>
      <c r="B176" s="99">
        <v>3</v>
      </c>
      <c r="C176" s="54" t="s">
        <v>662</v>
      </c>
      <c r="D176" s="54" t="s">
        <v>1316</v>
      </c>
      <c r="E176" s="130" t="s">
        <v>1320</v>
      </c>
      <c r="F176" s="54" t="s">
        <v>1466</v>
      </c>
      <c r="J176" s="137">
        <v>196000</v>
      </c>
      <c r="K176" s="58">
        <f t="shared" si="6"/>
        <v>0.19600000000000001</v>
      </c>
      <c r="Q176" s="58">
        <f t="shared" si="7"/>
        <v>2.3633333333333337E-8</v>
      </c>
      <c r="R176" s="176"/>
      <c r="S176" s="176"/>
      <c r="T176" s="54" t="s">
        <v>1349</v>
      </c>
      <c r="U176" s="54" t="s">
        <v>1350</v>
      </c>
      <c r="V176" s="58">
        <v>23.633333333333336</v>
      </c>
      <c r="W176" s="50" t="s">
        <v>62</v>
      </c>
    </row>
    <row r="177" spans="1:23" x14ac:dyDescent="0.35">
      <c r="A177" s="54">
        <v>299</v>
      </c>
      <c r="B177" s="99">
        <v>3</v>
      </c>
      <c r="C177" s="54" t="s">
        <v>662</v>
      </c>
      <c r="D177" s="54" t="s">
        <v>1316</v>
      </c>
      <c r="E177" s="130" t="s">
        <v>1321</v>
      </c>
      <c r="F177" s="54" t="s">
        <v>1466</v>
      </c>
      <c r="J177" s="137">
        <v>195557.57393185</v>
      </c>
      <c r="K177" s="58">
        <f t="shared" si="6"/>
        <v>0.19555757393185</v>
      </c>
      <c r="Q177" s="58">
        <f t="shared" si="7"/>
        <v>7.6666666666666678E-8</v>
      </c>
      <c r="R177" s="176"/>
      <c r="S177" s="176"/>
      <c r="T177" s="54" t="s">
        <v>1349</v>
      </c>
      <c r="U177" s="54" t="s">
        <v>1350</v>
      </c>
      <c r="V177" s="58">
        <v>76.666666666666671</v>
      </c>
      <c r="W177" s="50" t="s">
        <v>62</v>
      </c>
    </row>
    <row r="178" spans="1:23" x14ac:dyDescent="0.35">
      <c r="A178" s="54">
        <v>300</v>
      </c>
      <c r="B178" s="99">
        <v>3</v>
      </c>
      <c r="C178" s="54" t="s">
        <v>662</v>
      </c>
      <c r="D178" s="54" t="s">
        <v>1316</v>
      </c>
      <c r="E178" s="130" t="s">
        <v>1322</v>
      </c>
      <c r="F178" s="54" t="s">
        <v>1466</v>
      </c>
      <c r="J178" s="137">
        <v>324947.97909760004</v>
      </c>
      <c r="K178" s="58">
        <f t="shared" si="6"/>
        <v>0.32494797909760004</v>
      </c>
      <c r="Q178" s="58">
        <f t="shared" si="7"/>
        <v>1.0023333333333299E-7</v>
      </c>
      <c r="R178" s="176"/>
      <c r="S178" s="176"/>
      <c r="T178" s="54" t="s">
        <v>1349</v>
      </c>
      <c r="U178" s="54" t="s">
        <v>1350</v>
      </c>
      <c r="V178" s="58">
        <v>100.23333333333299</v>
      </c>
      <c r="W178" s="50" t="s">
        <v>62</v>
      </c>
    </row>
    <row r="179" spans="1:23" x14ac:dyDescent="0.35">
      <c r="A179" s="54">
        <v>301</v>
      </c>
      <c r="B179" s="99">
        <v>3</v>
      </c>
      <c r="C179" s="54" t="s">
        <v>662</v>
      </c>
      <c r="D179" s="54" t="s">
        <v>1316</v>
      </c>
      <c r="E179" s="130" t="s">
        <v>114</v>
      </c>
      <c r="F179" s="54" t="s">
        <v>1466</v>
      </c>
      <c r="J179" s="137">
        <v>282575</v>
      </c>
      <c r="K179" s="58">
        <f t="shared" si="6"/>
        <v>0.28257500000000002</v>
      </c>
      <c r="Q179" s="58">
        <f t="shared" si="7"/>
        <v>5.3795000000000006E-8</v>
      </c>
      <c r="R179" s="176"/>
      <c r="S179" s="176"/>
      <c r="T179" s="54" t="s">
        <v>1349</v>
      </c>
      <c r="U179" s="54" t="s">
        <v>1350</v>
      </c>
      <c r="V179" s="58">
        <v>53.795000000000002</v>
      </c>
      <c r="W179" s="50" t="s">
        <v>62</v>
      </c>
    </row>
    <row r="180" spans="1:23" x14ac:dyDescent="0.35">
      <c r="A180" s="54">
        <v>302</v>
      </c>
      <c r="B180" s="99">
        <v>3</v>
      </c>
      <c r="C180" s="54" t="s">
        <v>662</v>
      </c>
      <c r="D180" s="54" t="s">
        <v>1316</v>
      </c>
      <c r="E180" s="130" t="s">
        <v>1323</v>
      </c>
      <c r="F180" s="54" t="s">
        <v>1466</v>
      </c>
      <c r="J180" s="137">
        <v>900000</v>
      </c>
      <c r="K180" s="58">
        <f t="shared" si="6"/>
        <v>0.9</v>
      </c>
      <c r="Q180" s="58">
        <f t="shared" si="7"/>
        <v>6.0000000000000008E-8</v>
      </c>
      <c r="R180" s="176"/>
      <c r="S180" s="176"/>
      <c r="T180" s="54" t="s">
        <v>1349</v>
      </c>
      <c r="U180" s="54" t="s">
        <v>1350</v>
      </c>
      <c r="V180" s="58">
        <v>60</v>
      </c>
      <c r="W180" s="50" t="s">
        <v>62</v>
      </c>
    </row>
    <row r="181" spans="1:23" x14ac:dyDescent="0.35">
      <c r="A181" s="54">
        <v>303</v>
      </c>
      <c r="B181" s="99">
        <v>3</v>
      </c>
      <c r="C181" s="54" t="s">
        <v>662</v>
      </c>
      <c r="D181" s="54" t="s">
        <v>1316</v>
      </c>
      <c r="E181" s="130" t="s">
        <v>1324</v>
      </c>
      <c r="F181" s="54" t="s">
        <v>1466</v>
      </c>
      <c r="J181" s="137">
        <v>3600</v>
      </c>
      <c r="K181" s="58">
        <f t="shared" si="6"/>
        <v>3.5999999999999999E-3</v>
      </c>
      <c r="Q181" s="58">
        <f t="shared" si="7"/>
        <v>2.6000000000000001E-9</v>
      </c>
      <c r="R181" s="176"/>
      <c r="S181" s="176"/>
      <c r="T181" s="54" t="s">
        <v>1349</v>
      </c>
      <c r="U181" s="54" t="s">
        <v>1350</v>
      </c>
      <c r="V181" s="58">
        <v>2.6</v>
      </c>
      <c r="W181" s="50" t="s">
        <v>62</v>
      </c>
    </row>
    <row r="182" spans="1:23" x14ac:dyDescent="0.35">
      <c r="A182" s="54">
        <v>304</v>
      </c>
      <c r="B182" s="99">
        <v>3</v>
      </c>
      <c r="C182" s="54" t="s">
        <v>662</v>
      </c>
      <c r="D182" s="54" t="s">
        <v>1316</v>
      </c>
      <c r="E182" s="130" t="s">
        <v>1325</v>
      </c>
      <c r="F182" s="54" t="s">
        <v>1466</v>
      </c>
      <c r="J182" s="137">
        <v>7290</v>
      </c>
      <c r="K182" s="58">
        <f t="shared" si="6"/>
        <v>7.2899999999999996E-3</v>
      </c>
      <c r="Q182" s="58">
        <f t="shared" si="7"/>
        <v>4.7000000000000007E-9</v>
      </c>
      <c r="R182" s="176"/>
      <c r="S182" s="176"/>
      <c r="T182" s="54" t="s">
        <v>1349</v>
      </c>
      <c r="U182" s="54" t="s">
        <v>1350</v>
      </c>
      <c r="V182" s="58">
        <v>4.7</v>
      </c>
      <c r="W182" s="50" t="s">
        <v>62</v>
      </c>
    </row>
    <row r="183" spans="1:23" x14ac:dyDescent="0.35">
      <c r="A183" s="54">
        <v>305</v>
      </c>
      <c r="B183" s="99">
        <v>3</v>
      </c>
      <c r="C183" s="54" t="s">
        <v>662</v>
      </c>
      <c r="D183" s="54" t="s">
        <v>1316</v>
      </c>
      <c r="E183" s="130" t="s">
        <v>1326</v>
      </c>
      <c r="F183" s="54" t="s">
        <v>1466</v>
      </c>
      <c r="J183" s="137">
        <v>13168.388833333333</v>
      </c>
      <c r="K183" s="58">
        <f t="shared" ref="K183:K214" si="8">J183/POWER(10,6)</f>
        <v>1.3168388833333333E-2</v>
      </c>
      <c r="Q183" s="58">
        <f t="shared" si="7"/>
        <v>1.97E-9</v>
      </c>
      <c r="R183" s="176"/>
      <c r="S183" s="176"/>
      <c r="T183" s="54" t="s">
        <v>1349</v>
      </c>
      <c r="U183" s="54" t="s">
        <v>1350</v>
      </c>
      <c r="V183" s="58">
        <v>1.97</v>
      </c>
      <c r="W183" s="50" t="s">
        <v>62</v>
      </c>
    </row>
    <row r="184" spans="1:23" x14ac:dyDescent="0.35">
      <c r="A184" s="54">
        <v>306</v>
      </c>
      <c r="B184" s="99">
        <v>3</v>
      </c>
      <c r="C184" s="54" t="s">
        <v>662</v>
      </c>
      <c r="D184" s="54" t="s">
        <v>1316</v>
      </c>
      <c r="E184" s="130" t="s">
        <v>1327</v>
      </c>
      <c r="F184" s="54" t="s">
        <v>1466</v>
      </c>
      <c r="J184" s="137">
        <v>5712</v>
      </c>
      <c r="K184" s="58">
        <f t="shared" si="8"/>
        <v>5.7120000000000001E-3</v>
      </c>
      <c r="Q184" s="58">
        <f t="shared" si="7"/>
        <v>3.5200000000000003E-9</v>
      </c>
      <c r="R184" s="176"/>
      <c r="S184" s="176"/>
      <c r="T184" s="54" t="s">
        <v>1349</v>
      </c>
      <c r="U184" s="54" t="s">
        <v>1350</v>
      </c>
      <c r="V184" s="58">
        <v>3.52</v>
      </c>
      <c r="W184" s="50" t="s">
        <v>62</v>
      </c>
    </row>
    <row r="185" spans="1:23" x14ac:dyDescent="0.35">
      <c r="A185" s="54">
        <v>307</v>
      </c>
      <c r="B185" s="99">
        <v>3</v>
      </c>
      <c r="C185" s="54" t="s">
        <v>662</v>
      </c>
      <c r="D185" s="54" t="s">
        <v>1316</v>
      </c>
      <c r="E185" s="130" t="s">
        <v>1328</v>
      </c>
      <c r="F185" s="54" t="s">
        <v>1466</v>
      </c>
      <c r="J185" s="137">
        <v>42576</v>
      </c>
      <c r="K185" s="58">
        <f t="shared" si="8"/>
        <v>4.2576000000000003E-2</v>
      </c>
      <c r="Q185" s="58">
        <f t="shared" si="7"/>
        <v>8.3333333333333352E-9</v>
      </c>
      <c r="R185" s="176"/>
      <c r="S185" s="176"/>
      <c r="T185" s="54" t="s">
        <v>1349</v>
      </c>
      <c r="U185" s="54" t="s">
        <v>1350</v>
      </c>
      <c r="V185" s="58">
        <v>8.3333333333333339</v>
      </c>
      <c r="W185" s="50" t="s">
        <v>62</v>
      </c>
    </row>
    <row r="186" spans="1:23" x14ac:dyDescent="0.35">
      <c r="A186" s="54">
        <v>308</v>
      </c>
      <c r="B186" s="99">
        <v>3</v>
      </c>
      <c r="C186" s="54" t="s">
        <v>662</v>
      </c>
      <c r="D186" s="54" t="s">
        <v>1316</v>
      </c>
      <c r="E186" s="130" t="s">
        <v>1329</v>
      </c>
      <c r="F186" s="54" t="s">
        <v>1466</v>
      </c>
      <c r="J186" s="137">
        <v>685</v>
      </c>
      <c r="K186" s="58">
        <f t="shared" si="8"/>
        <v>6.8499999999999995E-4</v>
      </c>
      <c r="Q186" s="58">
        <f t="shared" si="7"/>
        <v>7.0000000000000006E-10</v>
      </c>
      <c r="R186" s="176"/>
      <c r="S186" s="176"/>
      <c r="T186" s="54" t="s">
        <v>1349</v>
      </c>
      <c r="U186" s="54" t="s">
        <v>1350</v>
      </c>
      <c r="V186" s="58">
        <v>0.70000000000000007</v>
      </c>
      <c r="W186" s="50" t="s">
        <v>62</v>
      </c>
    </row>
    <row r="187" spans="1:23" x14ac:dyDescent="0.35">
      <c r="A187" s="54">
        <v>309</v>
      </c>
      <c r="B187" s="99">
        <v>3</v>
      </c>
      <c r="C187" s="54" t="s">
        <v>662</v>
      </c>
      <c r="D187" s="54" t="s">
        <v>1316</v>
      </c>
      <c r="E187" s="130" t="s">
        <v>1330</v>
      </c>
      <c r="F187" s="54" t="s">
        <v>1466</v>
      </c>
      <c r="J187" s="137">
        <v>2750</v>
      </c>
      <c r="K187" s="58">
        <f t="shared" si="8"/>
        <v>2.7499999999999998E-3</v>
      </c>
      <c r="Q187" s="58">
        <f t="shared" si="7"/>
        <v>5.6666666666666667E-10</v>
      </c>
      <c r="R187" s="176"/>
      <c r="S187" s="176"/>
      <c r="T187" s="54" t="s">
        <v>1349</v>
      </c>
      <c r="U187" s="54" t="s">
        <v>1350</v>
      </c>
      <c r="V187" s="58">
        <v>0.56666666666666665</v>
      </c>
      <c r="W187" s="50" t="s">
        <v>62</v>
      </c>
    </row>
    <row r="188" spans="1:23" x14ac:dyDescent="0.35">
      <c r="A188" s="54">
        <v>310</v>
      </c>
      <c r="B188" s="99">
        <v>3</v>
      </c>
      <c r="C188" s="54" t="s">
        <v>662</v>
      </c>
      <c r="D188" s="54" t="s">
        <v>1316</v>
      </c>
      <c r="E188" s="130" t="s">
        <v>1331</v>
      </c>
      <c r="F188" s="54" t="s">
        <v>1466</v>
      </c>
      <c r="J188" s="137">
        <v>21531</v>
      </c>
      <c r="K188" s="58">
        <f t="shared" si="8"/>
        <v>2.1531000000000002E-2</v>
      </c>
      <c r="Q188" s="58">
        <f t="shared" si="7"/>
        <v>4.4299999999999998E-9</v>
      </c>
      <c r="R188" s="176"/>
      <c r="S188" s="176"/>
      <c r="T188" s="54" t="s">
        <v>1349</v>
      </c>
      <c r="U188" s="54" t="s">
        <v>1350</v>
      </c>
      <c r="V188" s="58">
        <v>4.43</v>
      </c>
      <c r="W188" s="50" t="s">
        <v>62</v>
      </c>
    </row>
    <row r="189" spans="1:23" x14ac:dyDescent="0.35">
      <c r="A189" s="54">
        <v>311</v>
      </c>
      <c r="B189" s="99">
        <v>3</v>
      </c>
      <c r="C189" s="54" t="s">
        <v>662</v>
      </c>
      <c r="D189" s="54" t="s">
        <v>1556</v>
      </c>
      <c r="E189" s="130" t="s">
        <v>1332</v>
      </c>
      <c r="F189" s="54" t="s">
        <v>1456</v>
      </c>
      <c r="J189" s="137">
        <v>237.05549999999999</v>
      </c>
      <c r="K189" s="58">
        <f t="shared" si="8"/>
        <v>2.3705549999999999E-4</v>
      </c>
      <c r="Q189" s="58">
        <f t="shared" si="7"/>
        <v>8.14545E-11</v>
      </c>
      <c r="R189" s="176"/>
      <c r="S189" s="176"/>
      <c r="T189" s="54" t="s">
        <v>1349</v>
      </c>
      <c r="U189" s="54" t="s">
        <v>1350</v>
      </c>
      <c r="V189" s="58">
        <v>8.1454499999999999E-2</v>
      </c>
      <c r="W189" s="50" t="s">
        <v>62</v>
      </c>
    </row>
    <row r="190" spans="1:23" x14ac:dyDescent="0.35">
      <c r="A190" s="54">
        <v>312</v>
      </c>
      <c r="B190" s="99">
        <v>3</v>
      </c>
      <c r="C190" s="54" t="s">
        <v>662</v>
      </c>
      <c r="D190" s="54" t="s">
        <v>1556</v>
      </c>
      <c r="E190" s="130" t="s">
        <v>1333</v>
      </c>
      <c r="F190" s="54" t="s">
        <v>1457</v>
      </c>
      <c r="J190" s="137">
        <v>142.66666666666666</v>
      </c>
      <c r="K190" s="58">
        <f t="shared" si="8"/>
        <v>1.4266666666666665E-4</v>
      </c>
      <c r="Q190" s="58">
        <f t="shared" si="7"/>
        <v>1.5643000000000002E-10</v>
      </c>
      <c r="R190" s="176"/>
      <c r="S190" s="176"/>
      <c r="T190" s="54" t="s">
        <v>1349</v>
      </c>
      <c r="U190" s="54" t="s">
        <v>1350</v>
      </c>
      <c r="V190" s="58">
        <v>0.15643000000000001</v>
      </c>
      <c r="W190" s="50" t="s">
        <v>62</v>
      </c>
    </row>
    <row r="191" spans="1:23" x14ac:dyDescent="0.35">
      <c r="A191" s="54">
        <v>313</v>
      </c>
      <c r="B191" s="99">
        <v>3</v>
      </c>
      <c r="C191" s="54" t="s">
        <v>662</v>
      </c>
      <c r="D191" s="54" t="s">
        <v>1556</v>
      </c>
      <c r="E191" s="130" t="s">
        <v>1334</v>
      </c>
      <c r="F191" s="54" t="s">
        <v>1458</v>
      </c>
      <c r="J191" s="137">
        <v>95.241249999999994</v>
      </c>
      <c r="K191" s="58">
        <f t="shared" si="8"/>
        <v>9.5241249999999996E-5</v>
      </c>
      <c r="Q191" s="58">
        <f t="shared" si="7"/>
        <v>3.8850000000000007E-11</v>
      </c>
      <c r="R191" s="176"/>
      <c r="S191" s="176"/>
      <c r="T191" s="54" t="s">
        <v>1349</v>
      </c>
      <c r="U191" s="54" t="s">
        <v>1350</v>
      </c>
      <c r="V191" s="58">
        <v>3.8850000000000003E-2</v>
      </c>
      <c r="W191" s="50" t="s">
        <v>62</v>
      </c>
    </row>
    <row r="192" spans="1:23" x14ac:dyDescent="0.35">
      <c r="A192" s="54">
        <v>314</v>
      </c>
      <c r="B192" s="99">
        <v>3</v>
      </c>
      <c r="C192" s="54" t="s">
        <v>662</v>
      </c>
      <c r="D192" s="54" t="s">
        <v>1556</v>
      </c>
      <c r="E192" s="130" t="s">
        <v>1335</v>
      </c>
      <c r="F192" s="54" t="s">
        <v>1459</v>
      </c>
      <c r="J192" s="137">
        <v>285.19833333333332</v>
      </c>
      <c r="K192" s="58">
        <f t="shared" si="8"/>
        <v>2.8519833333333334E-4</v>
      </c>
      <c r="Q192" s="58">
        <f t="shared" si="7"/>
        <v>8.4800000000000007E-11</v>
      </c>
      <c r="R192" s="176"/>
      <c r="S192" s="176"/>
      <c r="T192" s="54" t="s">
        <v>1349</v>
      </c>
      <c r="U192" s="54" t="s">
        <v>1350</v>
      </c>
      <c r="V192" s="58">
        <v>8.48E-2</v>
      </c>
      <c r="W192" s="50" t="s">
        <v>62</v>
      </c>
    </row>
    <row r="193" spans="1:23" x14ac:dyDescent="0.35">
      <c r="A193" s="54">
        <v>315</v>
      </c>
      <c r="B193" s="99">
        <v>3</v>
      </c>
      <c r="C193" s="54" t="s">
        <v>662</v>
      </c>
      <c r="D193" s="54" t="s">
        <v>1556</v>
      </c>
      <c r="E193" s="130" t="s">
        <v>1336</v>
      </c>
      <c r="F193" s="54" t="s">
        <v>1460</v>
      </c>
      <c r="J193" s="137">
        <v>16100</v>
      </c>
      <c r="K193" s="58">
        <f t="shared" si="8"/>
        <v>1.61E-2</v>
      </c>
      <c r="Q193" s="58">
        <f t="shared" si="7"/>
        <v>6.9891688726657023E-9</v>
      </c>
      <c r="R193" s="176"/>
      <c r="S193" s="176"/>
      <c r="T193" s="54" t="s">
        <v>1349</v>
      </c>
      <c r="U193" s="54" t="s">
        <v>1350</v>
      </c>
      <c r="V193" s="58">
        <v>6.9891688726657017</v>
      </c>
      <c r="W193" s="50" t="s">
        <v>1559</v>
      </c>
    </row>
    <row r="194" spans="1:23" x14ac:dyDescent="0.35">
      <c r="A194" s="54">
        <v>316</v>
      </c>
      <c r="B194" s="99">
        <v>3</v>
      </c>
      <c r="C194" s="54" t="s">
        <v>662</v>
      </c>
      <c r="D194" s="54" t="s">
        <v>1556</v>
      </c>
      <c r="E194" s="130" t="s">
        <v>1337</v>
      </c>
      <c r="F194" s="54" t="s">
        <v>1460</v>
      </c>
      <c r="J194" s="137">
        <v>10018</v>
      </c>
      <c r="K194" s="58">
        <f t="shared" si="8"/>
        <v>1.0018000000000001E-2</v>
      </c>
      <c r="Q194" s="58">
        <f t="shared" si="7"/>
        <v>1.0888E-9</v>
      </c>
      <c r="R194" s="176"/>
      <c r="S194" s="176"/>
      <c r="T194" s="54" t="s">
        <v>1349</v>
      </c>
      <c r="U194" s="54" t="s">
        <v>1350</v>
      </c>
      <c r="V194" s="58">
        <v>1.0888</v>
      </c>
      <c r="W194" s="50" t="s">
        <v>1559</v>
      </c>
    </row>
    <row r="195" spans="1:23" x14ac:dyDescent="0.35">
      <c r="A195" s="54">
        <v>317</v>
      </c>
      <c r="B195" s="99">
        <v>3</v>
      </c>
      <c r="C195" s="54" t="s">
        <v>662</v>
      </c>
      <c r="D195" s="54" t="s">
        <v>1556</v>
      </c>
      <c r="E195" s="130" t="s">
        <v>1338</v>
      </c>
      <c r="F195" s="54" t="s">
        <v>1459</v>
      </c>
      <c r="J195" s="137">
        <v>3.58</v>
      </c>
      <c r="K195" s="58">
        <f t="shared" si="8"/>
        <v>3.58E-6</v>
      </c>
      <c r="Q195" s="58">
        <f t="shared" si="7"/>
        <v>3.3600000000000002E-12</v>
      </c>
      <c r="R195" s="176"/>
      <c r="S195" s="176"/>
      <c r="T195" s="54" t="s">
        <v>1349</v>
      </c>
      <c r="U195" s="54" t="s">
        <v>1350</v>
      </c>
      <c r="V195" s="58">
        <v>3.3600000000000001E-3</v>
      </c>
      <c r="W195" s="50" t="s">
        <v>62</v>
      </c>
    </row>
    <row r="196" spans="1:23" x14ac:dyDescent="0.35">
      <c r="A196" s="54">
        <v>318</v>
      </c>
      <c r="B196" s="99">
        <v>3</v>
      </c>
      <c r="C196" s="54" t="s">
        <v>662</v>
      </c>
      <c r="D196" s="54" t="s">
        <v>1555</v>
      </c>
      <c r="E196" s="130" t="s">
        <v>1339</v>
      </c>
      <c r="F196" s="54" t="s">
        <v>1461</v>
      </c>
      <c r="J196" s="137">
        <v>8.875</v>
      </c>
      <c r="K196" s="58">
        <f t="shared" si="8"/>
        <v>8.8750000000000006E-6</v>
      </c>
      <c r="Q196" s="58">
        <f t="shared" si="7"/>
        <v>5.9999999999999995E-12</v>
      </c>
      <c r="R196" s="176"/>
      <c r="S196" s="176"/>
      <c r="T196" s="54" t="s">
        <v>1349</v>
      </c>
      <c r="U196" s="54" t="s">
        <v>1350</v>
      </c>
      <c r="V196" s="58">
        <v>5.9999999999999993E-3</v>
      </c>
      <c r="W196" s="50" t="s">
        <v>62</v>
      </c>
    </row>
    <row r="197" spans="1:23" x14ac:dyDescent="0.35">
      <c r="A197" s="54">
        <v>319</v>
      </c>
      <c r="B197" s="99">
        <v>3</v>
      </c>
      <c r="C197" s="54" t="s">
        <v>662</v>
      </c>
      <c r="D197" s="54" t="s">
        <v>1555</v>
      </c>
      <c r="E197" s="130" t="s">
        <v>1340</v>
      </c>
      <c r="F197" s="54" t="s">
        <v>1461</v>
      </c>
      <c r="J197" s="137">
        <v>13.8835</v>
      </c>
      <c r="K197" s="58">
        <f t="shared" si="8"/>
        <v>1.38835E-5</v>
      </c>
      <c r="Q197" s="58">
        <f t="shared" si="7"/>
        <v>1.0300000000000001E-11</v>
      </c>
      <c r="R197" s="176"/>
      <c r="S197" s="176"/>
      <c r="T197" s="54" t="s">
        <v>1349</v>
      </c>
      <c r="U197" s="54" t="s">
        <v>1350</v>
      </c>
      <c r="V197" s="58">
        <v>1.03E-2</v>
      </c>
      <c r="W197" s="50" t="s">
        <v>62</v>
      </c>
    </row>
    <row r="198" spans="1:23" x14ac:dyDescent="0.35">
      <c r="A198" s="54">
        <v>320</v>
      </c>
      <c r="B198" s="99">
        <v>3</v>
      </c>
      <c r="C198" s="54" t="s">
        <v>662</v>
      </c>
      <c r="D198" s="54" t="s">
        <v>1556</v>
      </c>
      <c r="E198" s="130" t="s">
        <v>1341</v>
      </c>
      <c r="F198" s="54" t="s">
        <v>1462</v>
      </c>
      <c r="J198" s="137">
        <v>38</v>
      </c>
      <c r="K198" s="58">
        <f t="shared" si="8"/>
        <v>3.8000000000000002E-5</v>
      </c>
      <c r="Q198" s="58">
        <f t="shared" si="7"/>
        <v>2.5499999999999999E-11</v>
      </c>
      <c r="R198" s="176"/>
      <c r="S198" s="176"/>
      <c r="T198" s="54" t="s">
        <v>1349</v>
      </c>
      <c r="U198" s="54" t="s">
        <v>1350</v>
      </c>
      <c r="V198" s="58">
        <v>2.5499999999999998E-2</v>
      </c>
      <c r="W198" s="50" t="s">
        <v>62</v>
      </c>
    </row>
    <row r="199" spans="1:23" x14ac:dyDescent="0.35">
      <c r="A199" s="54">
        <v>321</v>
      </c>
      <c r="B199" s="99">
        <v>3</v>
      </c>
      <c r="C199" s="54" t="s">
        <v>662</v>
      </c>
      <c r="D199" s="54" t="s">
        <v>1556</v>
      </c>
      <c r="E199" s="130" t="s">
        <v>1342</v>
      </c>
      <c r="F199" s="54" t="s">
        <v>1462</v>
      </c>
      <c r="J199" s="137">
        <v>49</v>
      </c>
      <c r="K199" s="58">
        <f t="shared" si="8"/>
        <v>4.8999999999999998E-5</v>
      </c>
      <c r="Q199" s="58">
        <f t="shared" si="7"/>
        <v>1.5E-11</v>
      </c>
      <c r="R199" s="176"/>
      <c r="S199" s="176"/>
      <c r="T199" s="54" t="s">
        <v>1349</v>
      </c>
      <c r="U199" s="54" t="s">
        <v>1350</v>
      </c>
      <c r="V199" s="58">
        <v>1.4999999999999999E-2</v>
      </c>
      <c r="W199" s="130" t="s">
        <v>1558</v>
      </c>
    </row>
    <row r="200" spans="1:23" x14ac:dyDescent="0.35">
      <c r="A200" s="54">
        <v>322</v>
      </c>
      <c r="B200" s="99">
        <v>3</v>
      </c>
      <c r="C200" s="54" t="s">
        <v>662</v>
      </c>
      <c r="D200" s="54" t="s">
        <v>1556</v>
      </c>
      <c r="E200" s="130" t="s">
        <v>1343</v>
      </c>
      <c r="F200" s="54" t="s">
        <v>1463</v>
      </c>
      <c r="J200" s="137">
        <v>65.512500000000003</v>
      </c>
      <c r="K200" s="58">
        <f t="shared" si="8"/>
        <v>6.55125E-5</v>
      </c>
      <c r="Q200" s="58">
        <f t="shared" si="7"/>
        <v>4.2460000000000001E-11</v>
      </c>
      <c r="R200" s="176"/>
      <c r="S200" s="176"/>
      <c r="T200" s="54" t="s">
        <v>1349</v>
      </c>
      <c r="U200" s="54" t="s">
        <v>1350</v>
      </c>
      <c r="V200" s="58">
        <v>4.2459999999999998E-2</v>
      </c>
      <c r="W200" s="50" t="s">
        <v>62</v>
      </c>
    </row>
    <row r="201" spans="1:23" x14ac:dyDescent="0.35">
      <c r="A201" s="54">
        <v>323</v>
      </c>
      <c r="B201" s="99">
        <v>3</v>
      </c>
      <c r="C201" s="54" t="s">
        <v>662</v>
      </c>
      <c r="D201" s="54" t="s">
        <v>1556</v>
      </c>
      <c r="E201" s="130" t="s">
        <v>1344</v>
      </c>
      <c r="F201" s="54" t="s">
        <v>1462</v>
      </c>
      <c r="J201" s="137">
        <v>45</v>
      </c>
      <c r="K201" s="58">
        <f t="shared" si="8"/>
        <v>4.5000000000000003E-5</v>
      </c>
      <c r="Q201" s="58">
        <f t="shared" si="7"/>
        <v>1.5E-11</v>
      </c>
      <c r="R201" s="176"/>
      <c r="S201" s="176"/>
      <c r="T201" s="54" t="s">
        <v>1349</v>
      </c>
      <c r="U201" s="54" t="s">
        <v>1350</v>
      </c>
      <c r="V201" s="58">
        <v>1.4999999999999999E-2</v>
      </c>
      <c r="W201" s="130" t="s">
        <v>1558</v>
      </c>
    </row>
    <row r="202" spans="1:23" x14ac:dyDescent="0.35">
      <c r="A202" s="54">
        <v>324</v>
      </c>
      <c r="B202" s="99">
        <v>3</v>
      </c>
      <c r="C202" s="54" t="s">
        <v>662</v>
      </c>
      <c r="D202" s="54" t="s">
        <v>1556</v>
      </c>
      <c r="E202" s="130" t="s">
        <v>1345</v>
      </c>
      <c r="F202" s="54" t="s">
        <v>1464</v>
      </c>
      <c r="J202" s="137">
        <v>489.375</v>
      </c>
      <c r="K202" s="58">
        <f t="shared" si="8"/>
        <v>4.8937500000000001E-4</v>
      </c>
      <c r="Q202" s="58">
        <f t="shared" si="7"/>
        <v>1.55825E-10</v>
      </c>
      <c r="R202" s="176"/>
      <c r="S202" s="176"/>
      <c r="T202" s="54" t="s">
        <v>1349</v>
      </c>
      <c r="U202" s="54" t="s">
        <v>1350</v>
      </c>
      <c r="V202" s="58">
        <v>0.15582499999999999</v>
      </c>
      <c r="W202" s="50" t="s">
        <v>62</v>
      </c>
    </row>
    <row r="203" spans="1:23" x14ac:dyDescent="0.35">
      <c r="A203" s="54">
        <v>325</v>
      </c>
      <c r="B203" s="99">
        <v>3</v>
      </c>
      <c r="C203" s="54" t="s">
        <v>662</v>
      </c>
      <c r="D203" s="54" t="s">
        <v>1557</v>
      </c>
      <c r="E203" s="130" t="s">
        <v>1346</v>
      </c>
      <c r="F203" s="54" t="s">
        <v>1466</v>
      </c>
      <c r="J203" s="137">
        <v>2502.5</v>
      </c>
      <c r="K203" s="58">
        <f t="shared" si="8"/>
        <v>2.5025E-3</v>
      </c>
      <c r="Q203" s="58">
        <f t="shared" si="7"/>
        <v>4.8559999999999996E-10</v>
      </c>
      <c r="R203" s="176"/>
      <c r="S203" s="176"/>
      <c r="T203" s="54" t="s">
        <v>1349</v>
      </c>
      <c r="U203" s="54" t="s">
        <v>1350</v>
      </c>
      <c r="V203" s="58">
        <v>0.48559999999999998</v>
      </c>
      <c r="W203" s="50" t="s">
        <v>62</v>
      </c>
    </row>
    <row r="204" spans="1:23" x14ac:dyDescent="0.35">
      <c r="A204" s="54">
        <v>326</v>
      </c>
      <c r="B204" s="99">
        <v>3</v>
      </c>
      <c r="C204" s="54" t="s">
        <v>662</v>
      </c>
      <c r="D204" s="54" t="s">
        <v>1557</v>
      </c>
      <c r="E204" s="130" t="s">
        <v>1034</v>
      </c>
      <c r="F204" s="54" t="s">
        <v>1466</v>
      </c>
      <c r="J204" s="137">
        <v>1154583.25</v>
      </c>
      <c r="K204" s="58">
        <f t="shared" si="8"/>
        <v>1.1545832499999999</v>
      </c>
      <c r="Q204" s="58">
        <f t="shared" si="7"/>
        <v>2.2914600000000003E-7</v>
      </c>
      <c r="R204" s="176"/>
      <c r="S204" s="176"/>
      <c r="T204" s="54" t="s">
        <v>1349</v>
      </c>
      <c r="U204" s="54" t="s">
        <v>1350</v>
      </c>
      <c r="V204" s="58">
        <v>229.14600000000002</v>
      </c>
      <c r="W204" s="50" t="s">
        <v>62</v>
      </c>
    </row>
    <row r="205" spans="1:23" x14ac:dyDescent="0.35">
      <c r="A205" s="54">
        <v>327</v>
      </c>
      <c r="B205" s="99">
        <v>3</v>
      </c>
      <c r="C205" s="54" t="s">
        <v>662</v>
      </c>
      <c r="D205" s="54" t="s">
        <v>1557</v>
      </c>
      <c r="E205" s="130" t="s">
        <v>1347</v>
      </c>
      <c r="F205" s="54" t="s">
        <v>1466</v>
      </c>
      <c r="J205" s="137">
        <v>64900</v>
      </c>
      <c r="K205" s="58">
        <f t="shared" si="8"/>
        <v>6.4899999999999999E-2</v>
      </c>
      <c r="Q205" s="58">
        <f t="shared" si="7"/>
        <v>2.0831700000000001E-8</v>
      </c>
      <c r="R205" s="176"/>
      <c r="S205" s="176"/>
      <c r="T205" s="54" t="s">
        <v>1349</v>
      </c>
      <c r="U205" s="54" t="s">
        <v>1350</v>
      </c>
      <c r="V205" s="58">
        <v>20.831700000000001</v>
      </c>
      <c r="W205" s="50" t="s">
        <v>62</v>
      </c>
    </row>
    <row r="206" spans="1:23" x14ac:dyDescent="0.35">
      <c r="A206" s="54">
        <v>328</v>
      </c>
      <c r="B206" s="99">
        <v>3</v>
      </c>
      <c r="C206" s="54" t="s">
        <v>662</v>
      </c>
      <c r="D206" s="54" t="s">
        <v>1557</v>
      </c>
      <c r="E206" s="130" t="s">
        <v>1348</v>
      </c>
      <c r="F206" s="54" t="s">
        <v>1466</v>
      </c>
      <c r="J206" s="137">
        <v>298000000</v>
      </c>
      <c r="K206" s="58">
        <f t="shared" si="8"/>
        <v>298</v>
      </c>
      <c r="Q206" s="58">
        <f t="shared" si="7"/>
        <v>5.3000000000000001E-5</v>
      </c>
      <c r="R206" s="176"/>
      <c r="S206" s="176"/>
      <c r="T206" s="54" t="s">
        <v>1349</v>
      </c>
      <c r="U206" s="54" t="s">
        <v>1350</v>
      </c>
      <c r="V206" s="58">
        <v>53000</v>
      </c>
      <c r="W206" s="50" t="s">
        <v>62</v>
      </c>
    </row>
    <row r="207" spans="1:23" x14ac:dyDescent="0.35">
      <c r="A207" s="54">
        <v>329</v>
      </c>
      <c r="B207" s="99">
        <v>4</v>
      </c>
      <c r="C207" s="54" t="s">
        <v>126</v>
      </c>
      <c r="D207" s="54" t="s">
        <v>339</v>
      </c>
      <c r="E207" s="130" t="s">
        <v>1027</v>
      </c>
      <c r="F207" s="54" t="s">
        <v>1466</v>
      </c>
      <c r="G207" s="99">
        <v>65</v>
      </c>
      <c r="I207" s="58">
        <v>3.9543161280887777E-3</v>
      </c>
      <c r="R207" s="176">
        <f>G207*POWER(10,-6)</f>
        <v>6.4999999999999994E-5</v>
      </c>
      <c r="S207" s="176">
        <f>I207/1000000</f>
        <v>3.9543161280887781E-9</v>
      </c>
      <c r="T207" s="54" t="s">
        <v>109</v>
      </c>
      <c r="V207" s="54" t="s">
        <v>62</v>
      </c>
      <c r="W207" s="50" t="s">
        <v>62</v>
      </c>
    </row>
    <row r="208" spans="1:23" x14ac:dyDescent="0.35">
      <c r="A208" s="54">
        <v>330</v>
      </c>
      <c r="B208" s="99">
        <v>4</v>
      </c>
      <c r="C208" s="54" t="s">
        <v>126</v>
      </c>
      <c r="D208" s="55" t="s">
        <v>1028</v>
      </c>
      <c r="E208" s="130" t="s">
        <v>141</v>
      </c>
      <c r="F208" s="54" t="s">
        <v>1466</v>
      </c>
      <c r="G208" s="99"/>
      <c r="I208" s="58">
        <f>S208*1000000</f>
        <v>0.02</v>
      </c>
      <c r="R208" s="176"/>
      <c r="S208" s="176">
        <f>V208/1000000</f>
        <v>2E-8</v>
      </c>
      <c r="T208" s="54" t="s">
        <v>142</v>
      </c>
      <c r="V208" s="54">
        <v>0.02</v>
      </c>
      <c r="W208" s="50" t="s">
        <v>62</v>
      </c>
    </row>
    <row r="209" spans="1:23" x14ac:dyDescent="0.35">
      <c r="A209" s="54">
        <v>331</v>
      </c>
      <c r="B209" s="99">
        <v>4</v>
      </c>
      <c r="C209" s="54" t="s">
        <v>126</v>
      </c>
      <c r="D209" s="54" t="s">
        <v>339</v>
      </c>
      <c r="E209" s="130" t="s">
        <v>143</v>
      </c>
      <c r="F209" s="54" t="s">
        <v>1466</v>
      </c>
      <c r="G209" s="99"/>
      <c r="I209" s="58">
        <f>S209*1000000</f>
        <v>2.3E-2</v>
      </c>
      <c r="R209" s="176"/>
      <c r="S209" s="176">
        <f>V209/1000000</f>
        <v>2.3000000000000001E-8</v>
      </c>
      <c r="T209" s="54" t="s">
        <v>142</v>
      </c>
      <c r="V209" s="54">
        <v>2.3E-2</v>
      </c>
      <c r="W209" s="50" t="s">
        <v>62</v>
      </c>
    </row>
    <row r="210" spans="1:23" x14ac:dyDescent="0.35">
      <c r="A210" s="54">
        <v>332</v>
      </c>
      <c r="B210" s="99">
        <v>4</v>
      </c>
      <c r="C210" s="54" t="s">
        <v>126</v>
      </c>
      <c r="D210" s="55" t="s">
        <v>133</v>
      </c>
      <c r="E210" s="130" t="s">
        <v>133</v>
      </c>
      <c r="F210" s="54" t="s">
        <v>1466</v>
      </c>
      <c r="G210" s="99"/>
      <c r="I210" s="58">
        <v>0.05</v>
      </c>
      <c r="R210" s="176"/>
      <c r="S210" s="176">
        <f>I210/1000000</f>
        <v>5.0000000000000004E-8</v>
      </c>
      <c r="T210" s="54" t="s">
        <v>35</v>
      </c>
      <c r="U210" s="54" t="s">
        <v>134</v>
      </c>
      <c r="V210" s="54" t="s">
        <v>62</v>
      </c>
      <c r="W210" s="50" t="s">
        <v>62</v>
      </c>
    </row>
    <row r="211" spans="1:23" x14ac:dyDescent="0.35">
      <c r="A211" s="54">
        <v>333</v>
      </c>
      <c r="B211" s="99">
        <v>4</v>
      </c>
      <c r="C211" s="54" t="s">
        <v>126</v>
      </c>
      <c r="D211" s="55" t="s">
        <v>1028</v>
      </c>
      <c r="E211" s="130" t="s">
        <v>135</v>
      </c>
      <c r="F211" s="54" t="s">
        <v>1466</v>
      </c>
      <c r="G211" s="99"/>
      <c r="I211" s="58">
        <f>S211*1000000</f>
        <v>7.0000000000000007E-2</v>
      </c>
      <c r="R211" s="176"/>
      <c r="S211" s="176">
        <f>V211/1000000</f>
        <v>7.0000000000000005E-8</v>
      </c>
      <c r="T211" s="54" t="s">
        <v>423</v>
      </c>
      <c r="V211" s="54">
        <v>7.0000000000000007E-2</v>
      </c>
      <c r="W211" s="54" t="s">
        <v>62</v>
      </c>
    </row>
    <row r="212" spans="1:23" x14ac:dyDescent="0.35">
      <c r="A212" s="54">
        <v>334</v>
      </c>
      <c r="B212" s="99">
        <v>4</v>
      </c>
      <c r="C212" s="54" t="s">
        <v>126</v>
      </c>
      <c r="D212" s="55" t="s">
        <v>133</v>
      </c>
      <c r="E212" s="130" t="s">
        <v>133</v>
      </c>
      <c r="F212" s="54" t="s">
        <v>1466</v>
      </c>
      <c r="G212" s="99"/>
      <c r="I212" s="58">
        <f>S212*1000000</f>
        <v>0.13</v>
      </c>
      <c r="R212" s="176"/>
      <c r="S212" s="176">
        <f>V212/1000000</f>
        <v>1.3E-7</v>
      </c>
      <c r="T212" s="54" t="s">
        <v>142</v>
      </c>
      <c r="V212" s="54">
        <v>0.13</v>
      </c>
      <c r="W212" s="54" t="s">
        <v>62</v>
      </c>
    </row>
    <row r="213" spans="1:23" x14ac:dyDescent="0.35">
      <c r="A213" s="54">
        <v>337</v>
      </c>
      <c r="B213" s="99">
        <v>4</v>
      </c>
      <c r="C213" s="54" t="s">
        <v>126</v>
      </c>
      <c r="D213" s="55" t="s">
        <v>127</v>
      </c>
      <c r="E213" s="130" t="s">
        <v>137</v>
      </c>
      <c r="F213" s="54" t="s">
        <v>1466</v>
      </c>
      <c r="G213" s="99"/>
      <c r="I213" s="58">
        <f>S213*1000000</f>
        <v>0.24</v>
      </c>
      <c r="R213" s="176"/>
      <c r="S213" s="176">
        <f>V213/1000000</f>
        <v>2.3999999999999998E-7</v>
      </c>
      <c r="T213" s="54" t="s">
        <v>423</v>
      </c>
      <c r="V213" s="54">
        <v>0.24</v>
      </c>
      <c r="W213" s="54" t="s">
        <v>62</v>
      </c>
    </row>
    <row r="214" spans="1:23" x14ac:dyDescent="0.35">
      <c r="A214" s="54">
        <v>338</v>
      </c>
      <c r="B214" s="99">
        <v>4</v>
      </c>
      <c r="C214" s="54" t="s">
        <v>126</v>
      </c>
      <c r="D214" s="55" t="s">
        <v>127</v>
      </c>
      <c r="E214" s="130" t="s">
        <v>128</v>
      </c>
      <c r="F214" s="54" t="s">
        <v>1466</v>
      </c>
      <c r="G214" s="99">
        <v>3171</v>
      </c>
      <c r="I214" s="58">
        <v>1.3827469023323613</v>
      </c>
      <c r="R214" s="176">
        <f>G214*POWER(10,-6)</f>
        <v>3.1709999999999998E-3</v>
      </c>
      <c r="S214" s="176">
        <f>I214/1000000</f>
        <v>1.3827469023323613E-6</v>
      </c>
      <c r="T214" s="54" t="s">
        <v>109</v>
      </c>
      <c r="W214" s="54" t="s">
        <v>62</v>
      </c>
    </row>
    <row r="215" spans="1:23" x14ac:dyDescent="0.35">
      <c r="A215" s="54">
        <v>339</v>
      </c>
      <c r="B215" s="99">
        <v>4</v>
      </c>
      <c r="C215" s="54" t="s">
        <v>126</v>
      </c>
      <c r="D215" s="55" t="s">
        <v>127</v>
      </c>
      <c r="E215" s="130" t="s">
        <v>139</v>
      </c>
      <c r="F215" s="54" t="s">
        <v>1466</v>
      </c>
      <c r="G215" s="99"/>
      <c r="I215" s="58">
        <f>S215*1000000</f>
        <v>1.6</v>
      </c>
      <c r="R215" s="176"/>
      <c r="S215" s="176">
        <f>V215/1000000</f>
        <v>1.6000000000000001E-6</v>
      </c>
      <c r="T215" s="54" t="s">
        <v>423</v>
      </c>
      <c r="V215" s="54">
        <v>1.6</v>
      </c>
      <c r="W215" s="54" t="s">
        <v>62</v>
      </c>
    </row>
    <row r="216" spans="1:23" x14ac:dyDescent="0.35">
      <c r="A216" s="54">
        <v>335</v>
      </c>
      <c r="B216" s="99">
        <v>4</v>
      </c>
      <c r="C216" s="54" t="s">
        <v>126</v>
      </c>
      <c r="D216" s="55" t="s">
        <v>127</v>
      </c>
      <c r="E216" s="130" t="s">
        <v>1483</v>
      </c>
      <c r="F216" s="54" t="s">
        <v>1466</v>
      </c>
      <c r="G216" s="99"/>
      <c r="I216" s="58">
        <v>0.15</v>
      </c>
      <c r="R216" s="176"/>
      <c r="S216" s="176">
        <f>V216/POWER(10,6)</f>
        <v>3.9999999999999998E-6</v>
      </c>
      <c r="T216" s="54" t="s">
        <v>35</v>
      </c>
      <c r="U216" s="54" t="s">
        <v>132</v>
      </c>
      <c r="V216" s="54">
        <v>4</v>
      </c>
      <c r="W216" s="54" t="s">
        <v>62</v>
      </c>
    </row>
    <row r="217" spans="1:23" x14ac:dyDescent="0.35">
      <c r="A217" s="54">
        <v>340</v>
      </c>
      <c r="B217" s="99">
        <v>4</v>
      </c>
      <c r="C217" s="54" t="s">
        <v>126</v>
      </c>
      <c r="D217" s="55" t="s">
        <v>127</v>
      </c>
      <c r="E217" s="130" t="s">
        <v>138</v>
      </c>
      <c r="F217" s="54" t="s">
        <v>1466</v>
      </c>
      <c r="G217" s="99"/>
      <c r="I217" s="58">
        <f>S217*1000000</f>
        <v>4.7</v>
      </c>
      <c r="R217" s="176"/>
      <c r="S217" s="176">
        <f>V217/1000000</f>
        <v>4.6999999999999999E-6</v>
      </c>
      <c r="T217" s="54" t="s">
        <v>423</v>
      </c>
      <c r="V217" s="54">
        <v>4.7</v>
      </c>
      <c r="W217" s="54" t="s">
        <v>62</v>
      </c>
    </row>
    <row r="218" spans="1:23" x14ac:dyDescent="0.35">
      <c r="A218" s="54">
        <v>341</v>
      </c>
      <c r="B218" s="99">
        <v>4</v>
      </c>
      <c r="C218" s="54" t="s">
        <v>126</v>
      </c>
      <c r="D218" s="55" t="s">
        <v>127</v>
      </c>
      <c r="E218" s="130" t="s">
        <v>136</v>
      </c>
      <c r="F218" s="54" t="s">
        <v>1466</v>
      </c>
      <c r="G218" s="99"/>
      <c r="I218" s="58">
        <f>S218*1000000</f>
        <v>5.032</v>
      </c>
      <c r="R218" s="176"/>
      <c r="S218" s="176">
        <f>V218/1000000</f>
        <v>5.0320000000000003E-6</v>
      </c>
      <c r="T218" s="54" t="s">
        <v>423</v>
      </c>
      <c r="V218" s="54">
        <v>5.032</v>
      </c>
      <c r="W218" s="54" t="s">
        <v>62</v>
      </c>
    </row>
    <row r="219" spans="1:23" x14ac:dyDescent="0.35">
      <c r="A219" s="54">
        <v>342</v>
      </c>
      <c r="B219" s="99">
        <v>4</v>
      </c>
      <c r="C219" s="54" t="s">
        <v>126</v>
      </c>
      <c r="D219" s="55" t="s">
        <v>127</v>
      </c>
      <c r="E219" s="130" t="s">
        <v>140</v>
      </c>
      <c r="F219" s="54" t="s">
        <v>1466</v>
      </c>
      <c r="G219" s="99"/>
      <c r="I219" s="58">
        <f>S219*1000000</f>
        <v>5.2</v>
      </c>
      <c r="R219" s="176"/>
      <c r="S219" s="176">
        <f>V219/1000000</f>
        <v>5.2000000000000002E-6</v>
      </c>
      <c r="T219" s="54" t="s">
        <v>423</v>
      </c>
      <c r="V219" s="54">
        <v>5.2</v>
      </c>
      <c r="W219" s="54" t="s">
        <v>62</v>
      </c>
    </row>
    <row r="220" spans="1:23" x14ac:dyDescent="0.35">
      <c r="A220" s="54">
        <v>343</v>
      </c>
      <c r="B220" s="99">
        <v>4</v>
      </c>
      <c r="C220" s="54" t="s">
        <v>126</v>
      </c>
      <c r="D220" s="55" t="s">
        <v>127</v>
      </c>
      <c r="E220" s="130" t="s">
        <v>131</v>
      </c>
      <c r="F220" s="54" t="s">
        <v>1466</v>
      </c>
      <c r="G220" s="99"/>
      <c r="I220" s="58">
        <v>100</v>
      </c>
      <c r="R220" s="176"/>
      <c r="S220" s="176">
        <f>I220/1000000</f>
        <v>1E-4</v>
      </c>
      <c r="T220" s="54" t="s">
        <v>35</v>
      </c>
      <c r="V220" s="54" t="s">
        <v>62</v>
      </c>
      <c r="W220" s="54" t="s">
        <v>62</v>
      </c>
    </row>
    <row r="221" spans="1:23" x14ac:dyDescent="0.35">
      <c r="A221" s="54">
        <v>344</v>
      </c>
      <c r="B221" s="167">
        <v>4</v>
      </c>
      <c r="C221" s="54" t="s">
        <v>126</v>
      </c>
      <c r="D221" s="59" t="s">
        <v>339</v>
      </c>
      <c r="E221" s="130" t="s">
        <v>1230</v>
      </c>
      <c r="F221" s="54" t="s">
        <v>1466</v>
      </c>
      <c r="G221" s="137">
        <v>80</v>
      </c>
      <c r="H221" s="58">
        <f t="shared" ref="H221:H252" si="9">G221/1000</f>
        <v>0.08</v>
      </c>
      <c r="R221" s="176">
        <f t="shared" ref="R221:R252" si="10">G221*POWER(10,-6)</f>
        <v>7.9999999999999993E-5</v>
      </c>
      <c r="S221" s="176"/>
      <c r="T221" s="54" t="s">
        <v>650</v>
      </c>
      <c r="U221" s="54" t="s">
        <v>1253</v>
      </c>
      <c r="V221" s="50" t="s">
        <v>62</v>
      </c>
      <c r="W221" s="50" t="s">
        <v>62</v>
      </c>
    </row>
    <row r="222" spans="1:23" x14ac:dyDescent="0.35">
      <c r="A222" s="54">
        <v>345</v>
      </c>
      <c r="B222" s="167">
        <v>4</v>
      </c>
      <c r="C222" s="54" t="s">
        <v>126</v>
      </c>
      <c r="D222" s="59" t="s">
        <v>1248</v>
      </c>
      <c r="E222" s="130" t="s">
        <v>1159</v>
      </c>
      <c r="F222" s="54" t="s">
        <v>1466</v>
      </c>
      <c r="G222" s="137">
        <v>96</v>
      </c>
      <c r="H222" s="58">
        <f t="shared" si="9"/>
        <v>9.6000000000000002E-2</v>
      </c>
      <c r="R222" s="176">
        <f t="shared" si="10"/>
        <v>9.6000000000000002E-5</v>
      </c>
      <c r="S222" s="176"/>
      <c r="T222" s="54" t="s">
        <v>650</v>
      </c>
      <c r="U222" s="54" t="s">
        <v>1253</v>
      </c>
      <c r="V222" s="50" t="s">
        <v>62</v>
      </c>
      <c r="W222" s="50" t="s">
        <v>62</v>
      </c>
    </row>
    <row r="223" spans="1:23" x14ac:dyDescent="0.35">
      <c r="A223" s="54">
        <v>346</v>
      </c>
      <c r="B223" s="167">
        <v>4</v>
      </c>
      <c r="C223" s="54" t="s">
        <v>126</v>
      </c>
      <c r="D223" s="59" t="s">
        <v>1248</v>
      </c>
      <c r="E223" s="130" t="s">
        <v>1152</v>
      </c>
      <c r="F223" s="54" t="s">
        <v>1466</v>
      </c>
      <c r="G223" s="137">
        <v>101</v>
      </c>
      <c r="H223" s="58">
        <f t="shared" si="9"/>
        <v>0.10100000000000001</v>
      </c>
      <c r="R223" s="176">
        <f t="shared" si="10"/>
        <v>1.01E-4</v>
      </c>
      <c r="S223" s="176"/>
      <c r="T223" s="54" t="s">
        <v>650</v>
      </c>
      <c r="U223" s="54" t="s">
        <v>1253</v>
      </c>
      <c r="V223" s="50" t="s">
        <v>62</v>
      </c>
      <c r="W223" s="50" t="s">
        <v>62</v>
      </c>
    </row>
    <row r="224" spans="1:23" x14ac:dyDescent="0.35">
      <c r="A224" s="54">
        <v>347</v>
      </c>
      <c r="B224" s="167">
        <v>4</v>
      </c>
      <c r="C224" s="54" t="s">
        <v>126</v>
      </c>
      <c r="D224" s="59" t="s">
        <v>1248</v>
      </c>
      <c r="E224" s="130" t="s">
        <v>1161</v>
      </c>
      <c r="F224" s="54" t="s">
        <v>1466</v>
      </c>
      <c r="G224" s="137">
        <v>103</v>
      </c>
      <c r="H224" s="58">
        <f t="shared" si="9"/>
        <v>0.10299999999999999</v>
      </c>
      <c r="R224" s="176">
        <f t="shared" si="10"/>
        <v>1.03E-4</v>
      </c>
      <c r="S224" s="176"/>
      <c r="T224" s="54" t="s">
        <v>650</v>
      </c>
      <c r="U224" s="54" t="s">
        <v>1253</v>
      </c>
      <c r="V224" s="50" t="s">
        <v>62</v>
      </c>
      <c r="W224" s="50" t="s">
        <v>62</v>
      </c>
    </row>
    <row r="225" spans="1:23" x14ac:dyDescent="0.35">
      <c r="A225" s="54">
        <v>348</v>
      </c>
      <c r="B225" s="167">
        <v>4</v>
      </c>
      <c r="C225" s="54" t="s">
        <v>126</v>
      </c>
      <c r="D225" s="59" t="s">
        <v>1248</v>
      </c>
      <c r="E225" s="130" t="s">
        <v>1151</v>
      </c>
      <c r="F225" s="54" t="s">
        <v>1466</v>
      </c>
      <c r="G225" s="137">
        <v>110</v>
      </c>
      <c r="H225" s="58">
        <f t="shared" si="9"/>
        <v>0.11</v>
      </c>
      <c r="R225" s="176">
        <f t="shared" si="10"/>
        <v>1.0999999999999999E-4</v>
      </c>
      <c r="S225" s="176"/>
      <c r="T225" s="54" t="s">
        <v>650</v>
      </c>
      <c r="U225" s="54" t="s">
        <v>1253</v>
      </c>
      <c r="V225" s="50" t="s">
        <v>62</v>
      </c>
      <c r="W225" s="50" t="s">
        <v>62</v>
      </c>
    </row>
    <row r="226" spans="1:23" x14ac:dyDescent="0.35">
      <c r="A226" s="54">
        <v>349</v>
      </c>
      <c r="B226" s="167">
        <v>4</v>
      </c>
      <c r="C226" s="54" t="s">
        <v>126</v>
      </c>
      <c r="D226" s="59" t="s">
        <v>339</v>
      </c>
      <c r="E226" s="130" t="s">
        <v>1027</v>
      </c>
      <c r="F226" s="54" t="s">
        <v>1466</v>
      </c>
      <c r="G226" s="137">
        <v>110</v>
      </c>
      <c r="H226" s="58">
        <f t="shared" si="9"/>
        <v>0.11</v>
      </c>
      <c r="R226" s="176">
        <f t="shared" si="10"/>
        <v>1.0999999999999999E-4</v>
      </c>
      <c r="S226" s="176"/>
      <c r="T226" s="54" t="s">
        <v>650</v>
      </c>
      <c r="U226" s="54" t="s">
        <v>1253</v>
      </c>
      <c r="V226" s="50" t="s">
        <v>62</v>
      </c>
      <c r="W226" s="50" t="s">
        <v>62</v>
      </c>
    </row>
    <row r="227" spans="1:23" x14ac:dyDescent="0.35">
      <c r="A227" s="54">
        <v>351</v>
      </c>
      <c r="B227" s="167">
        <v>4</v>
      </c>
      <c r="C227" s="54" t="s">
        <v>126</v>
      </c>
      <c r="D227" s="59" t="s">
        <v>339</v>
      </c>
      <c r="E227" s="130" t="s">
        <v>1219</v>
      </c>
      <c r="F227" s="54" t="s">
        <v>1466</v>
      </c>
      <c r="G227" s="137">
        <v>113</v>
      </c>
      <c r="H227" s="58">
        <f t="shared" si="9"/>
        <v>0.113</v>
      </c>
      <c r="R227" s="176">
        <f t="shared" si="10"/>
        <v>1.13E-4</v>
      </c>
      <c r="S227" s="176"/>
      <c r="T227" s="54" t="s">
        <v>650</v>
      </c>
      <c r="U227" s="54" t="s">
        <v>1253</v>
      </c>
      <c r="V227" s="50" t="s">
        <v>62</v>
      </c>
      <c r="W227" s="50" t="s">
        <v>62</v>
      </c>
    </row>
    <row r="228" spans="1:23" x14ac:dyDescent="0.35">
      <c r="A228" s="54">
        <v>352</v>
      </c>
      <c r="B228" s="99">
        <v>4</v>
      </c>
      <c r="C228" s="54" t="s">
        <v>126</v>
      </c>
      <c r="D228" s="54" t="s">
        <v>756</v>
      </c>
      <c r="E228" s="130" t="s">
        <v>65</v>
      </c>
      <c r="F228" s="54" t="s">
        <v>1466</v>
      </c>
      <c r="G228" s="99">
        <v>117</v>
      </c>
      <c r="H228" s="58">
        <f t="shared" si="9"/>
        <v>0.11700000000000001</v>
      </c>
      <c r="R228" s="176">
        <f t="shared" si="10"/>
        <v>1.17E-4</v>
      </c>
      <c r="S228" s="176"/>
      <c r="T228" s="54" t="s">
        <v>759</v>
      </c>
      <c r="V228" s="54" t="s">
        <v>62</v>
      </c>
      <c r="W228" s="54" t="s">
        <v>62</v>
      </c>
    </row>
    <row r="229" spans="1:23" x14ac:dyDescent="0.35">
      <c r="A229" s="54">
        <v>353</v>
      </c>
      <c r="B229" s="167">
        <v>4</v>
      </c>
      <c r="C229" s="54" t="s">
        <v>126</v>
      </c>
      <c r="D229" s="59" t="s">
        <v>1248</v>
      </c>
      <c r="E229" s="130" t="s">
        <v>1122</v>
      </c>
      <c r="F229" s="54" t="s">
        <v>1466</v>
      </c>
      <c r="G229" s="137">
        <v>118</v>
      </c>
      <c r="H229" s="58">
        <f t="shared" si="9"/>
        <v>0.11799999999999999</v>
      </c>
      <c r="R229" s="176">
        <f t="shared" si="10"/>
        <v>1.18E-4</v>
      </c>
      <c r="S229" s="176"/>
      <c r="T229" s="54" t="s">
        <v>650</v>
      </c>
      <c r="U229" s="54" t="s">
        <v>1253</v>
      </c>
      <c r="V229" s="54" t="s">
        <v>62</v>
      </c>
      <c r="W229" s="54" t="s">
        <v>62</v>
      </c>
    </row>
    <row r="230" spans="1:23" x14ac:dyDescent="0.35">
      <c r="A230" s="54">
        <v>354</v>
      </c>
      <c r="B230" s="167">
        <v>4</v>
      </c>
      <c r="C230" s="54" t="s">
        <v>126</v>
      </c>
      <c r="D230" s="59" t="s">
        <v>1248</v>
      </c>
      <c r="E230" s="130" t="s">
        <v>1157</v>
      </c>
      <c r="F230" s="54" t="s">
        <v>1466</v>
      </c>
      <c r="G230" s="137">
        <v>120</v>
      </c>
      <c r="H230" s="58">
        <f t="shared" si="9"/>
        <v>0.12</v>
      </c>
      <c r="R230" s="176">
        <f t="shared" si="10"/>
        <v>1.1999999999999999E-4</v>
      </c>
      <c r="S230" s="176"/>
      <c r="T230" s="54" t="s">
        <v>650</v>
      </c>
      <c r="U230" s="54" t="s">
        <v>1253</v>
      </c>
      <c r="V230" s="54" t="s">
        <v>62</v>
      </c>
      <c r="W230" s="54" t="s">
        <v>62</v>
      </c>
    </row>
    <row r="231" spans="1:23" x14ac:dyDescent="0.35">
      <c r="A231" s="54">
        <v>355</v>
      </c>
      <c r="B231" s="167">
        <v>4</v>
      </c>
      <c r="C231" s="54" t="s">
        <v>126</v>
      </c>
      <c r="D231" s="59" t="s">
        <v>339</v>
      </c>
      <c r="E231" s="130" t="s">
        <v>1220</v>
      </c>
      <c r="F231" s="54" t="s">
        <v>1466</v>
      </c>
      <c r="G231" s="137">
        <v>120</v>
      </c>
      <c r="H231" s="58">
        <f t="shared" si="9"/>
        <v>0.12</v>
      </c>
      <c r="R231" s="176">
        <f t="shared" si="10"/>
        <v>1.1999999999999999E-4</v>
      </c>
      <c r="S231" s="176"/>
      <c r="T231" s="54" t="s">
        <v>650</v>
      </c>
      <c r="U231" s="54" t="s">
        <v>1253</v>
      </c>
      <c r="V231" s="54" t="s">
        <v>62</v>
      </c>
      <c r="W231" s="54" t="s">
        <v>62</v>
      </c>
    </row>
    <row r="232" spans="1:23" x14ac:dyDescent="0.35">
      <c r="A232" s="54">
        <v>356</v>
      </c>
      <c r="B232" s="167">
        <v>4</v>
      </c>
      <c r="C232" s="54" t="s">
        <v>126</v>
      </c>
      <c r="D232" s="59" t="s">
        <v>339</v>
      </c>
      <c r="E232" s="130" t="s">
        <v>1221</v>
      </c>
      <c r="F232" s="54" t="s">
        <v>1466</v>
      </c>
      <c r="G232" s="137">
        <v>120</v>
      </c>
      <c r="H232" s="58">
        <f t="shared" si="9"/>
        <v>0.12</v>
      </c>
      <c r="R232" s="176">
        <f t="shared" si="10"/>
        <v>1.1999999999999999E-4</v>
      </c>
      <c r="S232" s="176"/>
      <c r="T232" s="54" t="s">
        <v>650</v>
      </c>
      <c r="U232" s="54" t="s">
        <v>1253</v>
      </c>
      <c r="V232" s="54" t="s">
        <v>62</v>
      </c>
      <c r="W232" s="54" t="s">
        <v>62</v>
      </c>
    </row>
    <row r="233" spans="1:23" x14ac:dyDescent="0.35">
      <c r="A233" s="54">
        <v>357</v>
      </c>
      <c r="B233" s="167">
        <v>4</v>
      </c>
      <c r="C233" s="54" t="s">
        <v>126</v>
      </c>
      <c r="D233" s="59" t="s">
        <v>1248</v>
      </c>
      <c r="E233" s="130" t="s">
        <v>1132</v>
      </c>
      <c r="F233" s="54" t="s">
        <v>1466</v>
      </c>
      <c r="G233" s="137">
        <v>126</v>
      </c>
      <c r="H233" s="58">
        <f t="shared" si="9"/>
        <v>0.126</v>
      </c>
      <c r="R233" s="176">
        <f t="shared" si="10"/>
        <v>1.26E-4</v>
      </c>
      <c r="S233" s="176"/>
      <c r="T233" s="54" t="s">
        <v>650</v>
      </c>
      <c r="U233" s="54" t="s">
        <v>1253</v>
      </c>
      <c r="V233" s="54" t="s">
        <v>62</v>
      </c>
      <c r="W233" s="54" t="s">
        <v>62</v>
      </c>
    </row>
    <row r="234" spans="1:23" x14ac:dyDescent="0.35">
      <c r="A234" s="54">
        <v>358</v>
      </c>
      <c r="B234" s="167">
        <v>4</v>
      </c>
      <c r="C234" s="54" t="s">
        <v>126</v>
      </c>
      <c r="D234" s="59" t="s">
        <v>1248</v>
      </c>
      <c r="E234" s="130" t="s">
        <v>1135</v>
      </c>
      <c r="F234" s="54" t="s">
        <v>1466</v>
      </c>
      <c r="G234" s="137">
        <v>127</v>
      </c>
      <c r="H234" s="58">
        <f t="shared" si="9"/>
        <v>0.127</v>
      </c>
      <c r="R234" s="176">
        <f t="shared" si="10"/>
        <v>1.27E-4</v>
      </c>
      <c r="S234" s="176"/>
      <c r="T234" s="54" t="s">
        <v>650</v>
      </c>
      <c r="U234" s="54" t="s">
        <v>1253</v>
      </c>
      <c r="V234" s="54" t="s">
        <v>62</v>
      </c>
      <c r="W234" s="54" t="s">
        <v>62</v>
      </c>
    </row>
    <row r="235" spans="1:23" x14ac:dyDescent="0.35">
      <c r="A235" s="54">
        <v>359</v>
      </c>
      <c r="B235" s="167">
        <v>4</v>
      </c>
      <c r="C235" s="54" t="s">
        <v>126</v>
      </c>
      <c r="D235" s="59" t="s">
        <v>1248</v>
      </c>
      <c r="E235" s="130" t="s">
        <v>1140</v>
      </c>
      <c r="F235" s="54" t="s">
        <v>1466</v>
      </c>
      <c r="G235" s="137">
        <v>127</v>
      </c>
      <c r="H235" s="58">
        <f t="shared" si="9"/>
        <v>0.127</v>
      </c>
      <c r="R235" s="176">
        <f t="shared" si="10"/>
        <v>1.27E-4</v>
      </c>
      <c r="S235" s="176"/>
      <c r="T235" s="54" t="s">
        <v>650</v>
      </c>
      <c r="U235" s="54" t="s">
        <v>1253</v>
      </c>
      <c r="V235" s="54" t="s">
        <v>62</v>
      </c>
      <c r="W235" s="54" t="s">
        <v>62</v>
      </c>
    </row>
    <row r="236" spans="1:23" x14ac:dyDescent="0.35">
      <c r="A236" s="54">
        <v>360</v>
      </c>
      <c r="B236" s="167">
        <v>4</v>
      </c>
      <c r="C236" s="54" t="s">
        <v>126</v>
      </c>
      <c r="D236" s="59" t="s">
        <v>1248</v>
      </c>
      <c r="E236" s="130" t="s">
        <v>1131</v>
      </c>
      <c r="F236" s="54" t="s">
        <v>1466</v>
      </c>
      <c r="G236" s="137">
        <v>130</v>
      </c>
      <c r="H236" s="58">
        <f t="shared" si="9"/>
        <v>0.13</v>
      </c>
      <c r="R236" s="176">
        <f t="shared" si="10"/>
        <v>1.2999999999999999E-4</v>
      </c>
      <c r="S236" s="176"/>
      <c r="T236" s="54" t="s">
        <v>650</v>
      </c>
      <c r="U236" s="54" t="s">
        <v>1253</v>
      </c>
      <c r="V236" s="54" t="s">
        <v>62</v>
      </c>
      <c r="W236" s="54" t="s">
        <v>62</v>
      </c>
    </row>
    <row r="237" spans="1:23" x14ac:dyDescent="0.35">
      <c r="A237" s="54">
        <v>361</v>
      </c>
      <c r="B237" s="167">
        <v>4</v>
      </c>
      <c r="C237" s="54" t="s">
        <v>126</v>
      </c>
      <c r="D237" s="59" t="s">
        <v>1248</v>
      </c>
      <c r="E237" s="130" t="s">
        <v>1154</v>
      </c>
      <c r="F237" s="54" t="s">
        <v>1466</v>
      </c>
      <c r="G237" s="137">
        <v>134</v>
      </c>
      <c r="H237" s="58">
        <f t="shared" si="9"/>
        <v>0.13400000000000001</v>
      </c>
      <c r="R237" s="176">
        <f t="shared" si="10"/>
        <v>1.34E-4</v>
      </c>
      <c r="S237" s="176"/>
      <c r="T237" s="54" t="s">
        <v>650</v>
      </c>
      <c r="U237" s="54" t="s">
        <v>1253</v>
      </c>
      <c r="V237" s="54" t="s">
        <v>62</v>
      </c>
      <c r="W237" s="54" t="s">
        <v>62</v>
      </c>
    </row>
    <row r="238" spans="1:23" x14ac:dyDescent="0.35">
      <c r="A238" s="54">
        <v>362</v>
      </c>
      <c r="B238" s="167">
        <v>4</v>
      </c>
      <c r="C238" s="54" t="s">
        <v>126</v>
      </c>
      <c r="D238" s="59" t="s">
        <v>1248</v>
      </c>
      <c r="E238" s="130" t="s">
        <v>1134</v>
      </c>
      <c r="F238" s="54" t="s">
        <v>1466</v>
      </c>
      <c r="G238" s="137">
        <v>135</v>
      </c>
      <c r="H238" s="58">
        <f t="shared" si="9"/>
        <v>0.13500000000000001</v>
      </c>
      <c r="R238" s="176">
        <f t="shared" si="10"/>
        <v>1.35E-4</v>
      </c>
      <c r="S238" s="176"/>
      <c r="T238" s="54" t="s">
        <v>650</v>
      </c>
      <c r="U238" s="54" t="s">
        <v>1253</v>
      </c>
      <c r="V238" s="54" t="s">
        <v>62</v>
      </c>
      <c r="W238" s="54" t="s">
        <v>62</v>
      </c>
    </row>
    <row r="239" spans="1:23" x14ac:dyDescent="0.35">
      <c r="A239" s="54">
        <v>363</v>
      </c>
      <c r="B239" s="167">
        <v>4</v>
      </c>
      <c r="C239" s="54" t="s">
        <v>126</v>
      </c>
      <c r="D239" s="59" t="s">
        <v>1248</v>
      </c>
      <c r="E239" s="130" t="s">
        <v>1156</v>
      </c>
      <c r="F239" s="54" t="s">
        <v>1466</v>
      </c>
      <c r="G239" s="137">
        <v>135</v>
      </c>
      <c r="H239" s="58">
        <f t="shared" si="9"/>
        <v>0.13500000000000001</v>
      </c>
      <c r="R239" s="176">
        <f t="shared" si="10"/>
        <v>1.35E-4</v>
      </c>
      <c r="S239" s="176"/>
      <c r="T239" s="54" t="s">
        <v>650</v>
      </c>
      <c r="U239" s="54" t="s">
        <v>1253</v>
      </c>
      <c r="V239" s="54" t="s">
        <v>62</v>
      </c>
      <c r="W239" s="54" t="s">
        <v>62</v>
      </c>
    </row>
    <row r="240" spans="1:23" x14ac:dyDescent="0.35">
      <c r="A240" s="54">
        <v>364</v>
      </c>
      <c r="B240" s="167">
        <v>4</v>
      </c>
      <c r="C240" s="54" t="s">
        <v>126</v>
      </c>
      <c r="D240" s="59" t="s">
        <v>339</v>
      </c>
      <c r="E240" s="130" t="s">
        <v>1247</v>
      </c>
      <c r="F240" s="54" t="s">
        <v>1466</v>
      </c>
      <c r="G240" s="137">
        <v>136</v>
      </c>
      <c r="H240" s="58">
        <f t="shared" si="9"/>
        <v>0.13600000000000001</v>
      </c>
      <c r="R240" s="176">
        <f t="shared" si="10"/>
        <v>1.36E-4</v>
      </c>
      <c r="S240" s="176"/>
      <c r="T240" s="54" t="s">
        <v>650</v>
      </c>
      <c r="U240" s="54" t="s">
        <v>1253</v>
      </c>
      <c r="V240" s="54" t="s">
        <v>62</v>
      </c>
      <c r="W240" s="54" t="s">
        <v>62</v>
      </c>
    </row>
    <row r="241" spans="1:23" x14ac:dyDescent="0.35">
      <c r="A241" s="54">
        <v>365</v>
      </c>
      <c r="B241" s="167">
        <v>4</v>
      </c>
      <c r="C241" s="54" t="s">
        <v>126</v>
      </c>
      <c r="D241" s="59" t="s">
        <v>1248</v>
      </c>
      <c r="E241" s="130" t="s">
        <v>1133</v>
      </c>
      <c r="F241" s="54" t="s">
        <v>1466</v>
      </c>
      <c r="G241" s="137">
        <v>137</v>
      </c>
      <c r="H241" s="58">
        <f t="shared" si="9"/>
        <v>0.13700000000000001</v>
      </c>
      <c r="R241" s="176">
        <f t="shared" si="10"/>
        <v>1.37E-4</v>
      </c>
      <c r="S241" s="176"/>
      <c r="T241" s="54" t="s">
        <v>650</v>
      </c>
      <c r="U241" s="54" t="s">
        <v>1253</v>
      </c>
      <c r="V241" s="54" t="s">
        <v>62</v>
      </c>
      <c r="W241" s="54" t="s">
        <v>62</v>
      </c>
    </row>
    <row r="242" spans="1:23" x14ac:dyDescent="0.35">
      <c r="A242" s="54">
        <v>366</v>
      </c>
      <c r="B242" s="167">
        <v>4</v>
      </c>
      <c r="C242" s="54" t="s">
        <v>126</v>
      </c>
      <c r="D242" s="59" t="s">
        <v>1248</v>
      </c>
      <c r="E242" s="130" t="s">
        <v>1121</v>
      </c>
      <c r="F242" s="54" t="s">
        <v>1466</v>
      </c>
      <c r="G242" s="137">
        <v>138</v>
      </c>
      <c r="H242" s="58">
        <f t="shared" si="9"/>
        <v>0.13800000000000001</v>
      </c>
      <c r="R242" s="176">
        <f t="shared" si="10"/>
        <v>1.3799999999999999E-4</v>
      </c>
      <c r="S242" s="176"/>
      <c r="T242" s="54" t="s">
        <v>650</v>
      </c>
      <c r="U242" s="54" t="s">
        <v>1253</v>
      </c>
      <c r="V242" s="54" t="s">
        <v>62</v>
      </c>
      <c r="W242" s="54" t="s">
        <v>62</v>
      </c>
    </row>
    <row r="243" spans="1:23" x14ac:dyDescent="0.35">
      <c r="A243" s="54">
        <v>367</v>
      </c>
      <c r="B243" s="167">
        <v>4</v>
      </c>
      <c r="C243" s="54" t="s">
        <v>126</v>
      </c>
      <c r="D243" s="59" t="s">
        <v>1248</v>
      </c>
      <c r="E243" s="130" t="s">
        <v>1130</v>
      </c>
      <c r="F243" s="54" t="s">
        <v>1466</v>
      </c>
      <c r="G243" s="137">
        <v>140</v>
      </c>
      <c r="H243" s="58">
        <f t="shared" si="9"/>
        <v>0.14000000000000001</v>
      </c>
      <c r="R243" s="176">
        <f t="shared" si="10"/>
        <v>1.3999999999999999E-4</v>
      </c>
      <c r="S243" s="176"/>
      <c r="T243" s="54" t="s">
        <v>650</v>
      </c>
      <c r="U243" s="54" t="s">
        <v>1253</v>
      </c>
      <c r="V243" s="54" t="s">
        <v>62</v>
      </c>
      <c r="W243" s="54" t="s">
        <v>62</v>
      </c>
    </row>
    <row r="244" spans="1:23" x14ac:dyDescent="0.35">
      <c r="A244" s="54">
        <v>368</v>
      </c>
      <c r="B244" s="167">
        <v>4</v>
      </c>
      <c r="C244" s="54" t="s">
        <v>126</v>
      </c>
      <c r="D244" s="59" t="s">
        <v>1248</v>
      </c>
      <c r="E244" s="130" t="s">
        <v>1153</v>
      </c>
      <c r="F244" s="54" t="s">
        <v>1466</v>
      </c>
      <c r="G244" s="137">
        <v>140</v>
      </c>
      <c r="H244" s="58">
        <f t="shared" si="9"/>
        <v>0.14000000000000001</v>
      </c>
      <c r="R244" s="176">
        <f t="shared" si="10"/>
        <v>1.3999999999999999E-4</v>
      </c>
      <c r="S244" s="176"/>
      <c r="T244" s="54" t="s">
        <v>650</v>
      </c>
      <c r="U244" s="54" t="s">
        <v>1253</v>
      </c>
      <c r="V244" s="54" t="s">
        <v>62</v>
      </c>
      <c r="W244" s="54" t="s">
        <v>62</v>
      </c>
    </row>
    <row r="245" spans="1:23" x14ac:dyDescent="0.35">
      <c r="A245" s="54">
        <v>369</v>
      </c>
      <c r="B245" s="167">
        <v>4</v>
      </c>
      <c r="C245" s="54" t="s">
        <v>126</v>
      </c>
      <c r="D245" s="59" t="s">
        <v>1248</v>
      </c>
      <c r="E245" s="130" t="s">
        <v>1158</v>
      </c>
      <c r="F245" s="54" t="s">
        <v>1466</v>
      </c>
      <c r="G245" s="137">
        <v>144</v>
      </c>
      <c r="H245" s="58">
        <f t="shared" si="9"/>
        <v>0.14399999999999999</v>
      </c>
      <c r="R245" s="176">
        <f t="shared" si="10"/>
        <v>1.44E-4</v>
      </c>
      <c r="S245" s="176"/>
      <c r="T245" s="54" t="s">
        <v>650</v>
      </c>
      <c r="U245" s="54" t="s">
        <v>1253</v>
      </c>
      <c r="V245" s="54" t="s">
        <v>62</v>
      </c>
      <c r="W245" s="54" t="s">
        <v>62</v>
      </c>
    </row>
    <row r="246" spans="1:23" x14ac:dyDescent="0.35">
      <c r="A246" s="54">
        <v>370</v>
      </c>
      <c r="B246" s="167">
        <v>4</v>
      </c>
      <c r="C246" s="54" t="s">
        <v>126</v>
      </c>
      <c r="D246" s="59" t="s">
        <v>1248</v>
      </c>
      <c r="E246" s="130" t="s">
        <v>1141</v>
      </c>
      <c r="F246" s="54" t="s">
        <v>1466</v>
      </c>
      <c r="G246" s="137">
        <v>147</v>
      </c>
      <c r="H246" s="58">
        <f t="shared" si="9"/>
        <v>0.14699999999999999</v>
      </c>
      <c r="R246" s="176">
        <f t="shared" si="10"/>
        <v>1.47E-4</v>
      </c>
      <c r="S246" s="176"/>
      <c r="T246" s="54" t="s">
        <v>650</v>
      </c>
      <c r="U246" s="54" t="s">
        <v>1253</v>
      </c>
      <c r="V246" s="54" t="s">
        <v>62</v>
      </c>
      <c r="W246" s="54" t="s">
        <v>62</v>
      </c>
    </row>
    <row r="247" spans="1:23" x14ac:dyDescent="0.35">
      <c r="A247" s="54">
        <v>371</v>
      </c>
      <c r="B247" s="167">
        <v>4</v>
      </c>
      <c r="C247" s="54" t="s">
        <v>126</v>
      </c>
      <c r="D247" s="59" t="s">
        <v>1248</v>
      </c>
      <c r="E247" s="130" t="s">
        <v>1155</v>
      </c>
      <c r="F247" s="54" t="s">
        <v>1466</v>
      </c>
      <c r="G247" s="137">
        <v>147</v>
      </c>
      <c r="H247" s="58">
        <f t="shared" si="9"/>
        <v>0.14699999999999999</v>
      </c>
      <c r="R247" s="176">
        <f t="shared" si="10"/>
        <v>1.47E-4</v>
      </c>
      <c r="S247" s="176"/>
      <c r="T247" s="54" t="s">
        <v>650</v>
      </c>
      <c r="U247" s="54" t="s">
        <v>1253</v>
      </c>
      <c r="V247" s="54" t="s">
        <v>62</v>
      </c>
      <c r="W247" s="54" t="s">
        <v>62</v>
      </c>
    </row>
    <row r="248" spans="1:23" x14ac:dyDescent="0.35">
      <c r="A248" s="54">
        <v>372</v>
      </c>
      <c r="B248" s="167">
        <v>4</v>
      </c>
      <c r="C248" s="54" t="s">
        <v>126</v>
      </c>
      <c r="D248" s="59" t="s">
        <v>1248</v>
      </c>
      <c r="E248" s="130" t="s">
        <v>1139</v>
      </c>
      <c r="F248" s="54" t="s">
        <v>1466</v>
      </c>
      <c r="G248" s="137">
        <v>148</v>
      </c>
      <c r="H248" s="58">
        <f t="shared" si="9"/>
        <v>0.14799999999999999</v>
      </c>
      <c r="R248" s="176">
        <f t="shared" si="10"/>
        <v>1.4799999999999999E-4</v>
      </c>
      <c r="S248" s="176"/>
      <c r="T248" s="54" t="s">
        <v>650</v>
      </c>
      <c r="U248" s="54" t="s">
        <v>1253</v>
      </c>
      <c r="V248" s="54" t="s">
        <v>62</v>
      </c>
      <c r="W248" s="54" t="s">
        <v>62</v>
      </c>
    </row>
    <row r="249" spans="1:23" x14ac:dyDescent="0.35">
      <c r="A249" s="54">
        <v>373</v>
      </c>
      <c r="B249" s="167">
        <v>4</v>
      </c>
      <c r="C249" s="54" t="s">
        <v>126</v>
      </c>
      <c r="D249" s="59" t="s">
        <v>339</v>
      </c>
      <c r="E249" s="130" t="s">
        <v>1218</v>
      </c>
      <c r="F249" s="54" t="s">
        <v>1466</v>
      </c>
      <c r="G249" s="137">
        <v>150</v>
      </c>
      <c r="H249" s="58">
        <f t="shared" si="9"/>
        <v>0.15</v>
      </c>
      <c r="R249" s="176">
        <f t="shared" si="10"/>
        <v>1.4999999999999999E-4</v>
      </c>
      <c r="S249" s="176"/>
      <c r="T249" s="54" t="s">
        <v>650</v>
      </c>
      <c r="U249" s="54" t="s">
        <v>1253</v>
      </c>
      <c r="V249" s="54" t="s">
        <v>62</v>
      </c>
      <c r="W249" s="54" t="s">
        <v>62</v>
      </c>
    </row>
    <row r="250" spans="1:23" x14ac:dyDescent="0.35">
      <c r="A250" s="54">
        <v>374</v>
      </c>
      <c r="B250" s="167">
        <v>4</v>
      </c>
      <c r="C250" s="54" t="s">
        <v>126</v>
      </c>
      <c r="D250" s="59" t="s">
        <v>339</v>
      </c>
      <c r="E250" s="130" t="s">
        <v>1238</v>
      </c>
      <c r="F250" s="54" t="s">
        <v>1466</v>
      </c>
      <c r="G250" s="137">
        <v>150</v>
      </c>
      <c r="H250" s="58">
        <f t="shared" si="9"/>
        <v>0.15</v>
      </c>
      <c r="R250" s="176">
        <f t="shared" si="10"/>
        <v>1.4999999999999999E-4</v>
      </c>
      <c r="S250" s="176"/>
      <c r="T250" s="54" t="s">
        <v>650</v>
      </c>
      <c r="U250" s="54" t="s">
        <v>1253</v>
      </c>
      <c r="V250" s="54" t="s">
        <v>62</v>
      </c>
      <c r="W250" s="54" t="s">
        <v>62</v>
      </c>
    </row>
    <row r="251" spans="1:23" x14ac:dyDescent="0.35">
      <c r="A251" s="54">
        <v>375</v>
      </c>
      <c r="B251" s="167">
        <v>4</v>
      </c>
      <c r="C251" s="54" t="s">
        <v>126</v>
      </c>
      <c r="D251" s="59" t="s">
        <v>1248</v>
      </c>
      <c r="E251" s="130" t="s">
        <v>1149</v>
      </c>
      <c r="F251" s="54" t="s">
        <v>1466</v>
      </c>
      <c r="G251" s="137">
        <v>151</v>
      </c>
      <c r="H251" s="58">
        <f t="shared" si="9"/>
        <v>0.151</v>
      </c>
      <c r="R251" s="176">
        <f t="shared" si="10"/>
        <v>1.5099999999999998E-4</v>
      </c>
      <c r="S251" s="176"/>
      <c r="T251" s="54" t="s">
        <v>650</v>
      </c>
      <c r="U251" s="54" t="s">
        <v>1253</v>
      </c>
      <c r="V251" s="54" t="s">
        <v>62</v>
      </c>
      <c r="W251" s="54" t="s">
        <v>62</v>
      </c>
    </row>
    <row r="252" spans="1:23" x14ac:dyDescent="0.35">
      <c r="A252" s="54">
        <v>376</v>
      </c>
      <c r="B252" s="167">
        <v>4</v>
      </c>
      <c r="C252" s="54" t="s">
        <v>126</v>
      </c>
      <c r="D252" s="59" t="s">
        <v>1248</v>
      </c>
      <c r="E252" s="130" t="s">
        <v>1176</v>
      </c>
      <c r="F252" s="54" t="s">
        <v>1466</v>
      </c>
      <c r="G252" s="137">
        <v>163</v>
      </c>
      <c r="H252" s="58">
        <f t="shared" si="9"/>
        <v>0.16300000000000001</v>
      </c>
      <c r="R252" s="176">
        <f t="shared" si="10"/>
        <v>1.63E-4</v>
      </c>
      <c r="S252" s="176"/>
      <c r="T252" s="54" t="s">
        <v>650</v>
      </c>
      <c r="U252" s="54" t="s">
        <v>1253</v>
      </c>
      <c r="V252" s="54" t="s">
        <v>62</v>
      </c>
      <c r="W252" s="54" t="s">
        <v>62</v>
      </c>
    </row>
    <row r="253" spans="1:23" x14ac:dyDescent="0.35">
      <c r="A253" s="54">
        <v>377</v>
      </c>
      <c r="B253" s="167">
        <v>4</v>
      </c>
      <c r="C253" s="54" t="s">
        <v>126</v>
      </c>
      <c r="D253" s="59" t="s">
        <v>1248</v>
      </c>
      <c r="E253" s="130" t="s">
        <v>1136</v>
      </c>
      <c r="F253" s="54" t="s">
        <v>1466</v>
      </c>
      <c r="G253" s="137">
        <v>167</v>
      </c>
      <c r="H253" s="58">
        <f t="shared" ref="H253:H284" si="11">G253/1000</f>
        <v>0.16700000000000001</v>
      </c>
      <c r="R253" s="176">
        <f t="shared" ref="R253:R284" si="12">G253*POWER(10,-6)</f>
        <v>1.6699999999999999E-4</v>
      </c>
      <c r="S253" s="176"/>
      <c r="T253" s="54" t="s">
        <v>650</v>
      </c>
      <c r="U253" s="54" t="s">
        <v>1253</v>
      </c>
      <c r="V253" s="54" t="s">
        <v>62</v>
      </c>
      <c r="W253" s="54" t="s">
        <v>62</v>
      </c>
    </row>
    <row r="254" spans="1:23" x14ac:dyDescent="0.35">
      <c r="A254" s="54">
        <v>378</v>
      </c>
      <c r="B254" s="167">
        <v>4</v>
      </c>
      <c r="C254" s="54" t="s">
        <v>126</v>
      </c>
      <c r="D254" s="59" t="s">
        <v>1248</v>
      </c>
      <c r="E254" s="130" t="s">
        <v>1129</v>
      </c>
      <c r="F254" s="54" t="s">
        <v>1466</v>
      </c>
      <c r="G254" s="137">
        <v>169</v>
      </c>
      <c r="H254" s="58">
        <f t="shared" si="11"/>
        <v>0.16900000000000001</v>
      </c>
      <c r="R254" s="176">
        <f t="shared" si="12"/>
        <v>1.6899999999999999E-4</v>
      </c>
      <c r="S254" s="176"/>
      <c r="T254" s="54" t="s">
        <v>650</v>
      </c>
      <c r="U254" s="54" t="s">
        <v>1253</v>
      </c>
      <c r="V254" s="54" t="s">
        <v>62</v>
      </c>
      <c r="W254" s="54" t="s">
        <v>62</v>
      </c>
    </row>
    <row r="255" spans="1:23" x14ac:dyDescent="0.35">
      <c r="A255" s="54">
        <v>379</v>
      </c>
      <c r="B255" s="167">
        <v>4</v>
      </c>
      <c r="C255" s="54" t="s">
        <v>126</v>
      </c>
      <c r="D255" s="59" t="s">
        <v>339</v>
      </c>
      <c r="E255" s="130" t="s">
        <v>1245</v>
      </c>
      <c r="F255" s="54" t="s">
        <v>1466</v>
      </c>
      <c r="G255" s="137">
        <v>170</v>
      </c>
      <c r="H255" s="58">
        <f t="shared" si="11"/>
        <v>0.17</v>
      </c>
      <c r="R255" s="176">
        <f t="shared" si="12"/>
        <v>1.6999999999999999E-4</v>
      </c>
      <c r="S255" s="176"/>
      <c r="T255" s="54" t="s">
        <v>650</v>
      </c>
      <c r="U255" s="54" t="s">
        <v>1253</v>
      </c>
      <c r="V255" s="54" t="s">
        <v>62</v>
      </c>
      <c r="W255" s="54" t="s">
        <v>62</v>
      </c>
    </row>
    <row r="256" spans="1:23" x14ac:dyDescent="0.35">
      <c r="A256" s="54">
        <v>380</v>
      </c>
      <c r="B256" s="167">
        <v>4</v>
      </c>
      <c r="C256" s="54" t="s">
        <v>126</v>
      </c>
      <c r="D256" s="59" t="s">
        <v>1248</v>
      </c>
      <c r="E256" s="130" t="s">
        <v>1120</v>
      </c>
      <c r="F256" s="54" t="s">
        <v>1466</v>
      </c>
      <c r="G256" s="137">
        <v>172</v>
      </c>
      <c r="H256" s="58">
        <f t="shared" si="11"/>
        <v>0.17199999999999999</v>
      </c>
      <c r="R256" s="176">
        <f t="shared" si="12"/>
        <v>1.7199999999999998E-4</v>
      </c>
      <c r="S256" s="176"/>
      <c r="T256" s="54" t="s">
        <v>650</v>
      </c>
      <c r="U256" s="54" t="s">
        <v>1253</v>
      </c>
      <c r="V256" s="54" t="s">
        <v>62</v>
      </c>
      <c r="W256" s="54" t="s">
        <v>62</v>
      </c>
    </row>
    <row r="257" spans="1:23" x14ac:dyDescent="0.35">
      <c r="A257" s="54">
        <v>381</v>
      </c>
      <c r="B257" s="167">
        <v>4</v>
      </c>
      <c r="C257" s="54" t="s">
        <v>126</v>
      </c>
      <c r="D257" s="59" t="s">
        <v>1248</v>
      </c>
      <c r="E257" s="130" t="s">
        <v>1188</v>
      </c>
      <c r="F257" s="54" t="s">
        <v>1466</v>
      </c>
      <c r="G257" s="137">
        <v>180</v>
      </c>
      <c r="H257" s="58">
        <f t="shared" si="11"/>
        <v>0.18</v>
      </c>
      <c r="R257" s="176">
        <f t="shared" si="12"/>
        <v>1.7999999999999998E-4</v>
      </c>
      <c r="S257" s="176"/>
      <c r="T257" s="54" t="s">
        <v>650</v>
      </c>
      <c r="U257" s="54" t="s">
        <v>1253</v>
      </c>
      <c r="V257" s="54" t="s">
        <v>62</v>
      </c>
      <c r="W257" s="54" t="s">
        <v>62</v>
      </c>
    </row>
    <row r="258" spans="1:23" x14ac:dyDescent="0.35">
      <c r="A258" s="54">
        <v>382</v>
      </c>
      <c r="B258" s="167">
        <v>4</v>
      </c>
      <c r="C258" s="54" t="s">
        <v>126</v>
      </c>
      <c r="D258" s="59" t="s">
        <v>1248</v>
      </c>
      <c r="E258" s="130" t="s">
        <v>1214</v>
      </c>
      <c r="F258" s="54" t="s">
        <v>1466</v>
      </c>
      <c r="G258" s="137">
        <v>180</v>
      </c>
      <c r="H258" s="58">
        <f t="shared" si="11"/>
        <v>0.18</v>
      </c>
      <c r="R258" s="176">
        <f t="shared" si="12"/>
        <v>1.7999999999999998E-4</v>
      </c>
      <c r="S258" s="176"/>
      <c r="T258" s="54" t="s">
        <v>650</v>
      </c>
      <c r="U258" s="54" t="s">
        <v>1253</v>
      </c>
      <c r="V258" s="54" t="s">
        <v>62</v>
      </c>
      <c r="W258" s="54" t="s">
        <v>62</v>
      </c>
    </row>
    <row r="259" spans="1:23" x14ac:dyDescent="0.35">
      <c r="A259" s="54">
        <v>383</v>
      </c>
      <c r="B259" s="167">
        <v>4</v>
      </c>
      <c r="C259" s="54" t="s">
        <v>126</v>
      </c>
      <c r="D259" s="59" t="s">
        <v>339</v>
      </c>
      <c r="E259" s="130" t="s">
        <v>1234</v>
      </c>
      <c r="F259" s="54" t="s">
        <v>1466</v>
      </c>
      <c r="G259" s="137">
        <v>180</v>
      </c>
      <c r="H259" s="58">
        <f t="shared" si="11"/>
        <v>0.18</v>
      </c>
      <c r="R259" s="176">
        <f t="shared" si="12"/>
        <v>1.7999999999999998E-4</v>
      </c>
      <c r="S259" s="176"/>
      <c r="T259" s="54" t="s">
        <v>650</v>
      </c>
      <c r="U259" s="54" t="s">
        <v>1253</v>
      </c>
      <c r="V259" s="54" t="s">
        <v>62</v>
      </c>
      <c r="W259" s="54" t="s">
        <v>62</v>
      </c>
    </row>
    <row r="260" spans="1:23" x14ac:dyDescent="0.35">
      <c r="A260" s="54">
        <v>384</v>
      </c>
      <c r="B260" s="167">
        <v>4</v>
      </c>
      <c r="C260" s="54" t="s">
        <v>126</v>
      </c>
      <c r="D260" s="59" t="s">
        <v>339</v>
      </c>
      <c r="E260" s="130" t="s">
        <v>1236</v>
      </c>
      <c r="F260" s="54" t="s">
        <v>1466</v>
      </c>
      <c r="G260" s="137">
        <v>180</v>
      </c>
      <c r="H260" s="58">
        <f t="shared" si="11"/>
        <v>0.18</v>
      </c>
      <c r="R260" s="176">
        <f t="shared" si="12"/>
        <v>1.7999999999999998E-4</v>
      </c>
      <c r="S260" s="176"/>
      <c r="T260" s="54" t="s">
        <v>650</v>
      </c>
      <c r="U260" s="54" t="s">
        <v>1253</v>
      </c>
      <c r="V260" s="54" t="s">
        <v>62</v>
      </c>
      <c r="W260" s="54" t="s">
        <v>62</v>
      </c>
    </row>
    <row r="261" spans="1:23" x14ac:dyDescent="0.35">
      <c r="A261" s="54">
        <v>385</v>
      </c>
      <c r="B261" s="167">
        <v>4</v>
      </c>
      <c r="C261" s="54" t="s">
        <v>126</v>
      </c>
      <c r="D261" s="59" t="s">
        <v>339</v>
      </c>
      <c r="E261" s="130" t="s">
        <v>1237</v>
      </c>
      <c r="F261" s="54" t="s">
        <v>1466</v>
      </c>
      <c r="G261" s="137">
        <v>180</v>
      </c>
      <c r="H261" s="58">
        <f t="shared" si="11"/>
        <v>0.18</v>
      </c>
      <c r="R261" s="176">
        <f t="shared" si="12"/>
        <v>1.7999999999999998E-4</v>
      </c>
      <c r="S261" s="176"/>
      <c r="T261" s="54" t="s">
        <v>650</v>
      </c>
      <c r="U261" s="54" t="s">
        <v>1253</v>
      </c>
      <c r="V261" s="54" t="s">
        <v>62</v>
      </c>
      <c r="W261" s="54" t="s">
        <v>62</v>
      </c>
    </row>
    <row r="262" spans="1:23" x14ac:dyDescent="0.35">
      <c r="A262" s="54">
        <v>386</v>
      </c>
      <c r="B262" s="167">
        <v>4</v>
      </c>
      <c r="C262" s="54" t="s">
        <v>126</v>
      </c>
      <c r="D262" s="59" t="s">
        <v>1248</v>
      </c>
      <c r="E262" s="130" t="s">
        <v>1150</v>
      </c>
      <c r="F262" s="54" t="s">
        <v>1466</v>
      </c>
      <c r="G262" s="137">
        <v>183</v>
      </c>
      <c r="H262" s="58">
        <f t="shared" si="11"/>
        <v>0.183</v>
      </c>
      <c r="R262" s="176">
        <f t="shared" si="12"/>
        <v>1.83E-4</v>
      </c>
      <c r="S262" s="176"/>
      <c r="T262" s="54" t="s">
        <v>650</v>
      </c>
      <c r="U262" s="54" t="s">
        <v>1253</v>
      </c>
      <c r="V262" s="54" t="s">
        <v>62</v>
      </c>
      <c r="W262" s="54" t="s">
        <v>62</v>
      </c>
    </row>
    <row r="263" spans="1:23" x14ac:dyDescent="0.35">
      <c r="A263" s="54">
        <v>387</v>
      </c>
      <c r="B263" s="167">
        <v>4</v>
      </c>
      <c r="C263" s="54" t="s">
        <v>126</v>
      </c>
      <c r="D263" s="59" t="s">
        <v>339</v>
      </c>
      <c r="E263" s="130" t="s">
        <v>1242</v>
      </c>
      <c r="F263" s="54" t="s">
        <v>1466</v>
      </c>
      <c r="G263" s="137">
        <v>188</v>
      </c>
      <c r="H263" s="58">
        <f t="shared" si="11"/>
        <v>0.188</v>
      </c>
      <c r="R263" s="176">
        <f t="shared" si="12"/>
        <v>1.8799999999999999E-4</v>
      </c>
      <c r="S263" s="176"/>
      <c r="T263" s="54" t="s">
        <v>650</v>
      </c>
      <c r="U263" s="54" t="s">
        <v>1253</v>
      </c>
      <c r="V263" s="54" t="s">
        <v>62</v>
      </c>
      <c r="W263" s="54" t="s">
        <v>62</v>
      </c>
    </row>
    <row r="264" spans="1:23" x14ac:dyDescent="0.35">
      <c r="A264" s="54">
        <v>388</v>
      </c>
      <c r="B264" s="167">
        <v>4</v>
      </c>
      <c r="C264" s="54" t="s">
        <v>126</v>
      </c>
      <c r="D264" s="59" t="s">
        <v>339</v>
      </c>
      <c r="E264" s="130" t="s">
        <v>1225</v>
      </c>
      <c r="F264" s="54" t="s">
        <v>1466</v>
      </c>
      <c r="G264" s="137">
        <v>200</v>
      </c>
      <c r="H264" s="58">
        <f t="shared" si="11"/>
        <v>0.2</v>
      </c>
      <c r="R264" s="176">
        <f t="shared" si="12"/>
        <v>1.9999999999999998E-4</v>
      </c>
      <c r="S264" s="176"/>
      <c r="T264" s="54" t="s">
        <v>650</v>
      </c>
      <c r="U264" s="54" t="s">
        <v>1253</v>
      </c>
      <c r="V264" s="54" t="s">
        <v>62</v>
      </c>
      <c r="W264" s="54" t="s">
        <v>62</v>
      </c>
    </row>
    <row r="265" spans="1:23" x14ac:dyDescent="0.35">
      <c r="A265" s="54">
        <v>389</v>
      </c>
      <c r="B265" s="167">
        <v>4</v>
      </c>
      <c r="C265" s="54" t="s">
        <v>126</v>
      </c>
      <c r="D265" s="59" t="s">
        <v>339</v>
      </c>
      <c r="E265" s="130" t="s">
        <v>1226</v>
      </c>
      <c r="F265" s="54" t="s">
        <v>1466</v>
      </c>
      <c r="G265" s="137">
        <v>200</v>
      </c>
      <c r="H265" s="58">
        <f t="shared" si="11"/>
        <v>0.2</v>
      </c>
      <c r="R265" s="176">
        <f t="shared" si="12"/>
        <v>1.9999999999999998E-4</v>
      </c>
      <c r="S265" s="176"/>
      <c r="T265" s="54" t="s">
        <v>650</v>
      </c>
      <c r="U265" s="54" t="s">
        <v>1253</v>
      </c>
      <c r="V265" s="54" t="s">
        <v>62</v>
      </c>
      <c r="W265" s="54" t="s">
        <v>62</v>
      </c>
    </row>
    <row r="266" spans="1:23" x14ac:dyDescent="0.35">
      <c r="A266" s="54">
        <v>390</v>
      </c>
      <c r="B266" s="167">
        <v>4</v>
      </c>
      <c r="C266" s="54" t="s">
        <v>126</v>
      </c>
      <c r="D266" s="59" t="s">
        <v>1248</v>
      </c>
      <c r="E266" s="130" t="s">
        <v>1138</v>
      </c>
      <c r="F266" s="54" t="s">
        <v>1466</v>
      </c>
      <c r="G266" s="137">
        <v>201</v>
      </c>
      <c r="H266" s="58">
        <f t="shared" si="11"/>
        <v>0.20100000000000001</v>
      </c>
      <c r="R266" s="176">
        <f t="shared" si="12"/>
        <v>2.0099999999999998E-4</v>
      </c>
      <c r="S266" s="176"/>
      <c r="T266" s="54" t="s">
        <v>650</v>
      </c>
      <c r="U266" s="54" t="s">
        <v>1253</v>
      </c>
      <c r="V266" s="54" t="s">
        <v>62</v>
      </c>
      <c r="W266" s="54" t="s">
        <v>62</v>
      </c>
    </row>
    <row r="267" spans="1:23" x14ac:dyDescent="0.35">
      <c r="A267" s="54">
        <v>391</v>
      </c>
      <c r="B267" s="167">
        <v>4</v>
      </c>
      <c r="C267" s="54" t="s">
        <v>126</v>
      </c>
      <c r="D267" s="59" t="s">
        <v>1248</v>
      </c>
      <c r="E267" s="130" t="s">
        <v>1201</v>
      </c>
      <c r="F267" s="54" t="s">
        <v>1466</v>
      </c>
      <c r="G267" s="137">
        <v>202</v>
      </c>
      <c r="H267" s="58">
        <f t="shared" si="11"/>
        <v>0.20200000000000001</v>
      </c>
      <c r="R267" s="176">
        <f t="shared" si="12"/>
        <v>2.02E-4</v>
      </c>
      <c r="S267" s="176"/>
      <c r="T267" s="54" t="s">
        <v>650</v>
      </c>
      <c r="U267" s="54" t="s">
        <v>1253</v>
      </c>
      <c r="V267" s="54" t="s">
        <v>62</v>
      </c>
      <c r="W267" s="54" t="s">
        <v>62</v>
      </c>
    </row>
    <row r="268" spans="1:23" x14ac:dyDescent="0.35">
      <c r="A268" s="54">
        <v>392</v>
      </c>
      <c r="B268" s="167">
        <v>4</v>
      </c>
      <c r="C268" s="54" t="s">
        <v>126</v>
      </c>
      <c r="D268" s="59" t="s">
        <v>1248</v>
      </c>
      <c r="E268" s="130" t="s">
        <v>1207</v>
      </c>
      <c r="F268" s="54" t="s">
        <v>1466</v>
      </c>
      <c r="G268" s="137">
        <v>204</v>
      </c>
      <c r="H268" s="58">
        <f t="shared" si="11"/>
        <v>0.20399999999999999</v>
      </c>
      <c r="R268" s="176">
        <f t="shared" si="12"/>
        <v>2.04E-4</v>
      </c>
      <c r="S268" s="176"/>
      <c r="T268" s="54" t="s">
        <v>650</v>
      </c>
      <c r="U268" s="54" t="s">
        <v>1253</v>
      </c>
      <c r="V268" s="54" t="s">
        <v>62</v>
      </c>
      <c r="W268" s="54" t="s">
        <v>62</v>
      </c>
    </row>
    <row r="269" spans="1:23" x14ac:dyDescent="0.35">
      <c r="A269" s="54">
        <v>393</v>
      </c>
      <c r="B269" s="167">
        <v>4</v>
      </c>
      <c r="C269" s="54" t="s">
        <v>126</v>
      </c>
      <c r="D269" s="59" t="s">
        <v>339</v>
      </c>
      <c r="E269" s="130" t="s">
        <v>1229</v>
      </c>
      <c r="F269" s="54" t="s">
        <v>1466</v>
      </c>
      <c r="G269" s="137">
        <v>210</v>
      </c>
      <c r="H269" s="58">
        <f t="shared" si="11"/>
        <v>0.21</v>
      </c>
      <c r="R269" s="176">
        <f t="shared" si="12"/>
        <v>2.0999999999999998E-4</v>
      </c>
      <c r="S269" s="176"/>
      <c r="T269" s="54" t="s">
        <v>650</v>
      </c>
      <c r="U269" s="54" t="s">
        <v>1253</v>
      </c>
      <c r="V269" s="54" t="s">
        <v>62</v>
      </c>
      <c r="W269" s="54" t="s">
        <v>62</v>
      </c>
    </row>
    <row r="270" spans="1:23" x14ac:dyDescent="0.35">
      <c r="A270" s="54">
        <v>394</v>
      </c>
      <c r="B270" s="167">
        <v>4</v>
      </c>
      <c r="C270" s="54" t="s">
        <v>126</v>
      </c>
      <c r="D270" s="59" t="s">
        <v>339</v>
      </c>
      <c r="E270" s="130" t="s">
        <v>1246</v>
      </c>
      <c r="F270" s="54" t="s">
        <v>1466</v>
      </c>
      <c r="G270" s="137">
        <v>210</v>
      </c>
      <c r="H270" s="58">
        <f t="shared" si="11"/>
        <v>0.21</v>
      </c>
      <c r="R270" s="176">
        <f t="shared" si="12"/>
        <v>2.0999999999999998E-4</v>
      </c>
      <c r="S270" s="176"/>
      <c r="T270" s="54" t="s">
        <v>650</v>
      </c>
      <c r="U270" s="54" t="s">
        <v>1253</v>
      </c>
      <c r="V270" s="54" t="s">
        <v>62</v>
      </c>
      <c r="W270" s="54" t="s">
        <v>62</v>
      </c>
    </row>
    <row r="271" spans="1:23" x14ac:dyDescent="0.35">
      <c r="A271" s="54">
        <v>395</v>
      </c>
      <c r="B271" s="167">
        <v>4</v>
      </c>
      <c r="C271" s="54" t="s">
        <v>126</v>
      </c>
      <c r="D271" s="59" t="s">
        <v>1248</v>
      </c>
      <c r="E271" s="130" t="s">
        <v>1200</v>
      </c>
      <c r="F271" s="54" t="s">
        <v>1466</v>
      </c>
      <c r="G271" s="137">
        <v>218</v>
      </c>
      <c r="H271" s="58">
        <f t="shared" si="11"/>
        <v>0.218</v>
      </c>
      <c r="R271" s="176">
        <f t="shared" si="12"/>
        <v>2.1799999999999999E-4</v>
      </c>
      <c r="S271" s="176"/>
      <c r="T271" s="54" t="s">
        <v>650</v>
      </c>
      <c r="U271" s="54" t="s">
        <v>1253</v>
      </c>
      <c r="V271" s="54" t="s">
        <v>62</v>
      </c>
      <c r="W271" s="54" t="s">
        <v>62</v>
      </c>
    </row>
    <row r="272" spans="1:23" x14ac:dyDescent="0.35">
      <c r="A272" s="54">
        <v>396</v>
      </c>
      <c r="B272" s="167">
        <v>4</v>
      </c>
      <c r="C272" s="54" t="s">
        <v>126</v>
      </c>
      <c r="D272" s="59" t="s">
        <v>1248</v>
      </c>
      <c r="E272" s="130" t="s">
        <v>1123</v>
      </c>
      <c r="F272" s="54" t="s">
        <v>1466</v>
      </c>
      <c r="G272" s="137">
        <v>220</v>
      </c>
      <c r="H272" s="58">
        <f t="shared" si="11"/>
        <v>0.22</v>
      </c>
      <c r="R272" s="176">
        <f t="shared" si="12"/>
        <v>2.1999999999999998E-4</v>
      </c>
      <c r="S272" s="176"/>
      <c r="T272" s="54" t="s">
        <v>650</v>
      </c>
      <c r="U272" s="54" t="s">
        <v>1253</v>
      </c>
      <c r="V272" s="54" t="s">
        <v>62</v>
      </c>
      <c r="W272" s="54" t="s">
        <v>62</v>
      </c>
    </row>
    <row r="273" spans="1:23" x14ac:dyDescent="0.35">
      <c r="A273" s="54">
        <v>397</v>
      </c>
      <c r="B273" s="167">
        <v>4</v>
      </c>
      <c r="C273" s="54" t="s">
        <v>126</v>
      </c>
      <c r="D273" s="59" t="s">
        <v>339</v>
      </c>
      <c r="E273" s="130" t="s">
        <v>1216</v>
      </c>
      <c r="F273" s="54" t="s">
        <v>1466</v>
      </c>
      <c r="G273" s="137">
        <v>220</v>
      </c>
      <c r="H273" s="58">
        <f t="shared" si="11"/>
        <v>0.22</v>
      </c>
      <c r="R273" s="176">
        <f t="shared" si="12"/>
        <v>2.1999999999999998E-4</v>
      </c>
      <c r="S273" s="176"/>
      <c r="T273" s="54" t="s">
        <v>650</v>
      </c>
      <c r="U273" s="54" t="s">
        <v>1253</v>
      </c>
      <c r="V273" s="54" t="s">
        <v>62</v>
      </c>
      <c r="W273" s="54" t="s">
        <v>62</v>
      </c>
    </row>
    <row r="274" spans="1:23" x14ac:dyDescent="0.35">
      <c r="A274" s="54">
        <v>398</v>
      </c>
      <c r="B274" s="167">
        <v>4</v>
      </c>
      <c r="C274" s="54" t="s">
        <v>126</v>
      </c>
      <c r="D274" s="59" t="s">
        <v>339</v>
      </c>
      <c r="E274" s="130" t="s">
        <v>1223</v>
      </c>
      <c r="F274" s="54" t="s">
        <v>1466</v>
      </c>
      <c r="G274" s="137">
        <v>220</v>
      </c>
      <c r="H274" s="58">
        <f t="shared" si="11"/>
        <v>0.22</v>
      </c>
      <c r="R274" s="176">
        <f t="shared" si="12"/>
        <v>2.1999999999999998E-4</v>
      </c>
      <c r="S274" s="176"/>
      <c r="T274" s="54" t="s">
        <v>650</v>
      </c>
      <c r="U274" s="54" t="s">
        <v>1253</v>
      </c>
      <c r="V274" s="54" t="s">
        <v>62</v>
      </c>
      <c r="W274" s="54" t="s">
        <v>62</v>
      </c>
    </row>
    <row r="275" spans="1:23" x14ac:dyDescent="0.35">
      <c r="A275" s="54">
        <v>399</v>
      </c>
      <c r="B275" s="167">
        <v>4</v>
      </c>
      <c r="C275" s="54" t="s">
        <v>126</v>
      </c>
      <c r="D275" s="59" t="s">
        <v>1248</v>
      </c>
      <c r="E275" s="130" t="s">
        <v>1189</v>
      </c>
      <c r="F275" s="54" t="s">
        <v>1466</v>
      </c>
      <c r="G275" s="137">
        <v>235</v>
      </c>
      <c r="H275" s="58">
        <f t="shared" si="11"/>
        <v>0.23499999999999999</v>
      </c>
      <c r="R275" s="176">
        <f t="shared" si="12"/>
        <v>2.3499999999999999E-4</v>
      </c>
      <c r="S275" s="176"/>
      <c r="T275" s="54" t="s">
        <v>650</v>
      </c>
      <c r="U275" s="54" t="s">
        <v>1253</v>
      </c>
      <c r="V275" s="54" t="s">
        <v>62</v>
      </c>
      <c r="W275" s="54" t="s">
        <v>62</v>
      </c>
    </row>
    <row r="276" spans="1:23" x14ac:dyDescent="0.35">
      <c r="A276" s="54">
        <v>400</v>
      </c>
      <c r="B276" s="167">
        <v>4</v>
      </c>
      <c r="C276" s="54" t="s">
        <v>126</v>
      </c>
      <c r="D276" s="59" t="s">
        <v>1248</v>
      </c>
      <c r="E276" s="130" t="s">
        <v>1205</v>
      </c>
      <c r="F276" s="54" t="s">
        <v>1466</v>
      </c>
      <c r="G276" s="137">
        <v>240</v>
      </c>
      <c r="H276" s="58">
        <f t="shared" si="11"/>
        <v>0.24</v>
      </c>
      <c r="R276" s="176">
        <f t="shared" si="12"/>
        <v>2.3999999999999998E-4</v>
      </c>
      <c r="S276" s="176"/>
      <c r="T276" s="54" t="s">
        <v>650</v>
      </c>
      <c r="U276" s="54" t="s">
        <v>1253</v>
      </c>
      <c r="V276" s="54" t="s">
        <v>62</v>
      </c>
      <c r="W276" s="54" t="s">
        <v>62</v>
      </c>
    </row>
    <row r="277" spans="1:23" x14ac:dyDescent="0.35">
      <c r="A277" s="54">
        <v>401</v>
      </c>
      <c r="B277" s="167">
        <v>4</v>
      </c>
      <c r="C277" s="54" t="s">
        <v>126</v>
      </c>
      <c r="D277" s="59" t="s">
        <v>339</v>
      </c>
      <c r="E277" s="130" t="s">
        <v>1233</v>
      </c>
      <c r="F277" s="54" t="s">
        <v>1466</v>
      </c>
      <c r="G277" s="137">
        <v>240</v>
      </c>
      <c r="H277" s="58">
        <f t="shared" si="11"/>
        <v>0.24</v>
      </c>
      <c r="R277" s="176">
        <f t="shared" si="12"/>
        <v>2.3999999999999998E-4</v>
      </c>
      <c r="S277" s="176"/>
      <c r="T277" s="54" t="s">
        <v>650</v>
      </c>
      <c r="U277" s="54" t="s">
        <v>1253</v>
      </c>
      <c r="V277" s="54" t="s">
        <v>62</v>
      </c>
      <c r="W277" s="54" t="s">
        <v>62</v>
      </c>
    </row>
    <row r="278" spans="1:23" x14ac:dyDescent="0.35">
      <c r="A278" s="54">
        <v>402</v>
      </c>
      <c r="B278" s="167">
        <v>4</v>
      </c>
      <c r="C278" s="54" t="s">
        <v>126</v>
      </c>
      <c r="D278" s="59" t="s">
        <v>1248</v>
      </c>
      <c r="E278" s="130" t="s">
        <v>1137</v>
      </c>
      <c r="F278" s="54" t="s">
        <v>1466</v>
      </c>
      <c r="G278" s="137">
        <v>241</v>
      </c>
      <c r="H278" s="58">
        <f t="shared" si="11"/>
        <v>0.24099999999999999</v>
      </c>
      <c r="R278" s="176">
        <f t="shared" si="12"/>
        <v>2.4099999999999998E-4</v>
      </c>
      <c r="S278" s="176"/>
      <c r="T278" s="54" t="s">
        <v>650</v>
      </c>
      <c r="U278" s="54" t="s">
        <v>1253</v>
      </c>
      <c r="V278" s="54" t="s">
        <v>62</v>
      </c>
      <c r="W278" s="54" t="s">
        <v>62</v>
      </c>
    </row>
    <row r="279" spans="1:23" x14ac:dyDescent="0.35">
      <c r="A279" s="54">
        <v>403</v>
      </c>
      <c r="B279" s="167">
        <v>4</v>
      </c>
      <c r="C279" s="54" t="s">
        <v>126</v>
      </c>
      <c r="D279" s="59" t="s">
        <v>339</v>
      </c>
      <c r="E279" s="130" t="s">
        <v>1224</v>
      </c>
      <c r="F279" s="54" t="s">
        <v>1466</v>
      </c>
      <c r="G279" s="137">
        <v>250</v>
      </c>
      <c r="H279" s="58">
        <f t="shared" si="11"/>
        <v>0.25</v>
      </c>
      <c r="R279" s="176">
        <f t="shared" si="12"/>
        <v>2.5000000000000001E-4</v>
      </c>
      <c r="S279" s="176"/>
      <c r="T279" s="54" t="s">
        <v>650</v>
      </c>
      <c r="U279" s="54" t="s">
        <v>1253</v>
      </c>
      <c r="V279" s="54" t="s">
        <v>62</v>
      </c>
      <c r="W279" s="54" t="s">
        <v>62</v>
      </c>
    </row>
    <row r="280" spans="1:23" x14ac:dyDescent="0.35">
      <c r="A280" s="54">
        <v>404</v>
      </c>
      <c r="B280" s="167">
        <v>4</v>
      </c>
      <c r="C280" s="54" t="s">
        <v>126</v>
      </c>
      <c r="D280" s="59" t="s">
        <v>1248</v>
      </c>
      <c r="E280" s="130" t="s">
        <v>1191</v>
      </c>
      <c r="F280" s="54" t="s">
        <v>1466</v>
      </c>
      <c r="G280" s="137">
        <v>265</v>
      </c>
      <c r="H280" s="58">
        <f t="shared" si="11"/>
        <v>0.26500000000000001</v>
      </c>
      <c r="R280" s="176">
        <f t="shared" si="12"/>
        <v>2.6499999999999999E-4</v>
      </c>
      <c r="S280" s="176"/>
      <c r="T280" s="54" t="s">
        <v>650</v>
      </c>
      <c r="U280" s="54" t="s">
        <v>1253</v>
      </c>
      <c r="V280" s="54" t="s">
        <v>62</v>
      </c>
      <c r="W280" s="54" t="s">
        <v>62</v>
      </c>
    </row>
    <row r="281" spans="1:23" x14ac:dyDescent="0.35">
      <c r="A281" s="54">
        <v>405</v>
      </c>
      <c r="B281" s="167">
        <v>4</v>
      </c>
      <c r="C281" s="54" t="s">
        <v>126</v>
      </c>
      <c r="D281" s="59" t="s">
        <v>1248</v>
      </c>
      <c r="E281" s="130" t="s">
        <v>1196</v>
      </c>
      <c r="F281" s="54" t="s">
        <v>1466</v>
      </c>
      <c r="G281" s="137">
        <v>280</v>
      </c>
      <c r="H281" s="58">
        <f t="shared" si="11"/>
        <v>0.28000000000000003</v>
      </c>
      <c r="R281" s="176">
        <f t="shared" si="12"/>
        <v>2.7999999999999998E-4</v>
      </c>
      <c r="S281" s="176"/>
      <c r="T281" s="54" t="s">
        <v>650</v>
      </c>
      <c r="U281" s="54" t="s">
        <v>1253</v>
      </c>
      <c r="V281" s="54" t="s">
        <v>62</v>
      </c>
      <c r="W281" s="54" t="s">
        <v>62</v>
      </c>
    </row>
    <row r="282" spans="1:23" x14ac:dyDescent="0.35">
      <c r="A282" s="54">
        <v>406</v>
      </c>
      <c r="B282" s="167">
        <v>4</v>
      </c>
      <c r="C282" s="54" t="s">
        <v>126</v>
      </c>
      <c r="D282" s="59" t="s">
        <v>1248</v>
      </c>
      <c r="E282" s="130" t="s">
        <v>1160</v>
      </c>
      <c r="F282" s="54" t="s">
        <v>1466</v>
      </c>
      <c r="G282" s="137">
        <v>285</v>
      </c>
      <c r="H282" s="58">
        <f t="shared" si="11"/>
        <v>0.28499999999999998</v>
      </c>
      <c r="R282" s="176">
        <f t="shared" si="12"/>
        <v>2.8499999999999999E-4</v>
      </c>
      <c r="S282" s="176"/>
      <c r="T282" s="54" t="s">
        <v>650</v>
      </c>
      <c r="U282" s="54" t="s">
        <v>1253</v>
      </c>
      <c r="V282" s="54" t="s">
        <v>62</v>
      </c>
      <c r="W282" s="54" t="s">
        <v>62</v>
      </c>
    </row>
    <row r="283" spans="1:23" x14ac:dyDescent="0.35">
      <c r="A283" s="54">
        <v>407</v>
      </c>
      <c r="B283" s="167">
        <v>4</v>
      </c>
      <c r="C283" s="54" t="s">
        <v>126</v>
      </c>
      <c r="D283" s="59" t="s">
        <v>1248</v>
      </c>
      <c r="E283" s="130" t="s">
        <v>1206</v>
      </c>
      <c r="F283" s="54" t="s">
        <v>1466</v>
      </c>
      <c r="G283" s="137">
        <v>286</v>
      </c>
      <c r="H283" s="58">
        <f t="shared" si="11"/>
        <v>0.28599999999999998</v>
      </c>
      <c r="R283" s="176">
        <f t="shared" si="12"/>
        <v>2.8600000000000001E-4</v>
      </c>
      <c r="S283" s="176"/>
      <c r="T283" s="54" t="s">
        <v>650</v>
      </c>
      <c r="U283" s="54" t="s">
        <v>1253</v>
      </c>
      <c r="V283" s="54" t="s">
        <v>62</v>
      </c>
      <c r="W283" s="54" t="s">
        <v>62</v>
      </c>
    </row>
    <row r="284" spans="1:23" x14ac:dyDescent="0.35">
      <c r="A284" s="54">
        <v>408</v>
      </c>
      <c r="B284" s="167">
        <v>4</v>
      </c>
      <c r="C284" s="54" t="s">
        <v>126</v>
      </c>
      <c r="D284" s="59" t="s">
        <v>339</v>
      </c>
      <c r="E284" s="130" t="s">
        <v>1215</v>
      </c>
      <c r="F284" s="54" t="s">
        <v>1466</v>
      </c>
      <c r="G284" s="137">
        <v>290</v>
      </c>
      <c r="H284" s="58">
        <f t="shared" si="11"/>
        <v>0.28999999999999998</v>
      </c>
      <c r="R284" s="176">
        <f t="shared" si="12"/>
        <v>2.9E-4</v>
      </c>
      <c r="S284" s="176"/>
      <c r="T284" s="54" t="s">
        <v>650</v>
      </c>
      <c r="U284" s="54" t="s">
        <v>1253</v>
      </c>
      <c r="V284" s="54" t="s">
        <v>62</v>
      </c>
      <c r="W284" s="54" t="s">
        <v>62</v>
      </c>
    </row>
    <row r="285" spans="1:23" x14ac:dyDescent="0.35">
      <c r="A285" s="54">
        <v>409</v>
      </c>
      <c r="B285" s="167">
        <v>4</v>
      </c>
      <c r="C285" s="54" t="s">
        <v>126</v>
      </c>
      <c r="D285" s="59" t="s">
        <v>339</v>
      </c>
      <c r="E285" s="130" t="s">
        <v>1217</v>
      </c>
      <c r="F285" s="54" t="s">
        <v>1466</v>
      </c>
      <c r="G285" s="137">
        <v>300</v>
      </c>
      <c r="H285" s="58">
        <f t="shared" ref="H285:H316" si="13">G285/1000</f>
        <v>0.3</v>
      </c>
      <c r="R285" s="176">
        <f t="shared" ref="R285:R316" si="14">G285*POWER(10,-6)</f>
        <v>2.9999999999999997E-4</v>
      </c>
      <c r="S285" s="176"/>
      <c r="T285" s="54" t="s">
        <v>650</v>
      </c>
      <c r="U285" s="54" t="s">
        <v>1253</v>
      </c>
      <c r="V285" s="54" t="s">
        <v>62</v>
      </c>
      <c r="W285" s="54" t="s">
        <v>62</v>
      </c>
    </row>
    <row r="286" spans="1:23" x14ac:dyDescent="0.35">
      <c r="A286" s="54">
        <v>410</v>
      </c>
      <c r="B286" s="167">
        <v>4</v>
      </c>
      <c r="C286" s="54" t="s">
        <v>126</v>
      </c>
      <c r="D286" s="59" t="s">
        <v>1248</v>
      </c>
      <c r="E286" s="130" t="s">
        <v>1178</v>
      </c>
      <c r="F286" s="54" t="s">
        <v>1466</v>
      </c>
      <c r="G286" s="137">
        <v>306</v>
      </c>
      <c r="H286" s="58">
        <f t="shared" si="13"/>
        <v>0.30599999999999999</v>
      </c>
      <c r="R286" s="176">
        <f t="shared" si="14"/>
        <v>3.0600000000000001E-4</v>
      </c>
      <c r="S286" s="176"/>
      <c r="T286" s="54" t="s">
        <v>650</v>
      </c>
      <c r="U286" s="54" t="s">
        <v>1253</v>
      </c>
      <c r="V286" s="54" t="s">
        <v>62</v>
      </c>
      <c r="W286" s="54" t="s">
        <v>62</v>
      </c>
    </row>
    <row r="287" spans="1:23" x14ac:dyDescent="0.35">
      <c r="A287" s="54">
        <v>411</v>
      </c>
      <c r="B287" s="167">
        <v>4</v>
      </c>
      <c r="C287" s="54" t="s">
        <v>126</v>
      </c>
      <c r="D287" s="59" t="s">
        <v>1248</v>
      </c>
      <c r="E287" s="130" t="s">
        <v>1145</v>
      </c>
      <c r="F287" s="54" t="s">
        <v>1466</v>
      </c>
      <c r="G287" s="137">
        <v>320</v>
      </c>
      <c r="H287" s="58">
        <f t="shared" si="13"/>
        <v>0.32</v>
      </c>
      <c r="R287" s="176">
        <f t="shared" si="14"/>
        <v>3.1999999999999997E-4</v>
      </c>
      <c r="S287" s="176"/>
      <c r="T287" s="54" t="s">
        <v>650</v>
      </c>
      <c r="U287" s="54" t="s">
        <v>1253</v>
      </c>
      <c r="V287" s="54" t="s">
        <v>62</v>
      </c>
      <c r="W287" s="54" t="s">
        <v>62</v>
      </c>
    </row>
    <row r="288" spans="1:23" x14ac:dyDescent="0.35">
      <c r="A288" s="54">
        <v>412</v>
      </c>
      <c r="B288" s="167">
        <v>4</v>
      </c>
      <c r="C288" s="54" t="s">
        <v>126</v>
      </c>
      <c r="D288" s="59" t="s">
        <v>339</v>
      </c>
      <c r="E288" s="130" t="s">
        <v>1243</v>
      </c>
      <c r="F288" s="54" t="s">
        <v>1466</v>
      </c>
      <c r="G288" s="137">
        <v>326</v>
      </c>
      <c r="H288" s="58">
        <f t="shared" si="13"/>
        <v>0.32600000000000001</v>
      </c>
      <c r="R288" s="176">
        <f t="shared" si="14"/>
        <v>3.2600000000000001E-4</v>
      </c>
      <c r="S288" s="176"/>
      <c r="T288" s="54" t="s">
        <v>650</v>
      </c>
      <c r="U288" s="54" t="s">
        <v>1253</v>
      </c>
      <c r="V288" s="54" t="s">
        <v>62</v>
      </c>
      <c r="W288" s="54" t="s">
        <v>62</v>
      </c>
    </row>
    <row r="289" spans="1:23" x14ac:dyDescent="0.35">
      <c r="A289" s="54">
        <v>413</v>
      </c>
      <c r="B289" s="167">
        <v>4</v>
      </c>
      <c r="C289" s="54" t="s">
        <v>126</v>
      </c>
      <c r="D289" s="59" t="s">
        <v>1248</v>
      </c>
      <c r="E289" s="130" t="s">
        <v>1124</v>
      </c>
      <c r="F289" s="54" t="s">
        <v>1466</v>
      </c>
      <c r="G289" s="137">
        <v>330</v>
      </c>
      <c r="H289" s="58">
        <f t="shared" si="13"/>
        <v>0.33</v>
      </c>
      <c r="R289" s="176">
        <f t="shared" si="14"/>
        <v>3.3E-4</v>
      </c>
      <c r="S289" s="176"/>
      <c r="T289" s="54" t="s">
        <v>650</v>
      </c>
      <c r="U289" s="54" t="s">
        <v>1253</v>
      </c>
      <c r="V289" s="54" t="s">
        <v>62</v>
      </c>
      <c r="W289" s="54" t="s">
        <v>62</v>
      </c>
    </row>
    <row r="290" spans="1:23" x14ac:dyDescent="0.35">
      <c r="A290" s="54">
        <v>414</v>
      </c>
      <c r="B290" s="167">
        <v>4</v>
      </c>
      <c r="C290" s="54" t="s">
        <v>126</v>
      </c>
      <c r="D290" s="59" t="s">
        <v>1248</v>
      </c>
      <c r="E290" s="130" t="s">
        <v>1193</v>
      </c>
      <c r="F290" s="54" t="s">
        <v>1466</v>
      </c>
      <c r="G290" s="137">
        <v>330</v>
      </c>
      <c r="H290" s="58">
        <f t="shared" si="13"/>
        <v>0.33</v>
      </c>
      <c r="R290" s="176">
        <f t="shared" si="14"/>
        <v>3.3E-4</v>
      </c>
      <c r="S290" s="176"/>
      <c r="T290" s="54" t="s">
        <v>650</v>
      </c>
      <c r="U290" s="54" t="s">
        <v>1253</v>
      </c>
      <c r="V290" s="54" t="s">
        <v>62</v>
      </c>
      <c r="W290" s="54" t="s">
        <v>62</v>
      </c>
    </row>
    <row r="291" spans="1:23" x14ac:dyDescent="0.35">
      <c r="A291" s="54">
        <v>415</v>
      </c>
      <c r="B291" s="167">
        <v>4</v>
      </c>
      <c r="C291" s="54" t="s">
        <v>126</v>
      </c>
      <c r="D291" s="59" t="s">
        <v>339</v>
      </c>
      <c r="E291" s="130" t="s">
        <v>1227</v>
      </c>
      <c r="F291" s="54" t="s">
        <v>1466</v>
      </c>
      <c r="G291" s="137">
        <v>350</v>
      </c>
      <c r="H291" s="58">
        <f t="shared" si="13"/>
        <v>0.35</v>
      </c>
      <c r="R291" s="176">
        <f t="shared" si="14"/>
        <v>3.5E-4</v>
      </c>
      <c r="S291" s="176"/>
      <c r="T291" s="54" t="s">
        <v>650</v>
      </c>
      <c r="U291" s="54" t="s">
        <v>1253</v>
      </c>
      <c r="V291" s="54" t="s">
        <v>62</v>
      </c>
      <c r="W291" s="54" t="s">
        <v>62</v>
      </c>
    </row>
    <row r="292" spans="1:23" x14ac:dyDescent="0.35">
      <c r="A292" s="54">
        <v>416</v>
      </c>
      <c r="B292" s="167">
        <v>4</v>
      </c>
      <c r="C292" s="54" t="s">
        <v>126</v>
      </c>
      <c r="D292" s="59" t="s">
        <v>339</v>
      </c>
      <c r="E292" s="130" t="s">
        <v>1222</v>
      </c>
      <c r="F292" s="54" t="s">
        <v>1466</v>
      </c>
      <c r="G292" s="137">
        <v>360</v>
      </c>
      <c r="H292" s="58">
        <f t="shared" si="13"/>
        <v>0.36</v>
      </c>
      <c r="R292" s="176">
        <f t="shared" si="14"/>
        <v>3.5999999999999997E-4</v>
      </c>
      <c r="S292" s="176"/>
      <c r="T292" s="54" t="s">
        <v>650</v>
      </c>
      <c r="U292" s="54" t="s">
        <v>1253</v>
      </c>
      <c r="V292" s="54" t="s">
        <v>62</v>
      </c>
      <c r="W292" s="54" t="s">
        <v>62</v>
      </c>
    </row>
    <row r="293" spans="1:23" x14ac:dyDescent="0.35">
      <c r="A293" s="54">
        <v>417</v>
      </c>
      <c r="B293" s="167">
        <v>4</v>
      </c>
      <c r="C293" s="54" t="s">
        <v>126</v>
      </c>
      <c r="D293" s="59" t="s">
        <v>1248</v>
      </c>
      <c r="E293" s="130" t="s">
        <v>1180</v>
      </c>
      <c r="F293" s="54" t="s">
        <v>1466</v>
      </c>
      <c r="G293" s="137">
        <v>366</v>
      </c>
      <c r="H293" s="58">
        <f t="shared" si="13"/>
        <v>0.36599999999999999</v>
      </c>
      <c r="R293" s="176">
        <f t="shared" si="14"/>
        <v>3.6600000000000001E-4</v>
      </c>
      <c r="S293" s="176"/>
      <c r="T293" s="54" t="s">
        <v>650</v>
      </c>
      <c r="U293" s="54" t="s">
        <v>1253</v>
      </c>
      <c r="V293" s="54" t="s">
        <v>62</v>
      </c>
      <c r="W293" s="54" t="s">
        <v>62</v>
      </c>
    </row>
    <row r="294" spans="1:23" x14ac:dyDescent="0.35">
      <c r="A294" s="54">
        <v>418</v>
      </c>
      <c r="B294" s="167">
        <v>4</v>
      </c>
      <c r="C294" s="54" t="s">
        <v>126</v>
      </c>
      <c r="D294" s="59" t="s">
        <v>1248</v>
      </c>
      <c r="E294" s="130" t="s">
        <v>1198</v>
      </c>
      <c r="F294" s="54" t="s">
        <v>1466</v>
      </c>
      <c r="G294" s="137">
        <v>368</v>
      </c>
      <c r="H294" s="58">
        <f t="shared" si="13"/>
        <v>0.36799999999999999</v>
      </c>
      <c r="R294" s="176">
        <f t="shared" si="14"/>
        <v>3.68E-4</v>
      </c>
      <c r="S294" s="176"/>
      <c r="T294" s="54" t="s">
        <v>650</v>
      </c>
      <c r="U294" s="54" t="s">
        <v>1253</v>
      </c>
      <c r="V294" s="54" t="s">
        <v>62</v>
      </c>
      <c r="W294" s="54" t="s">
        <v>62</v>
      </c>
    </row>
    <row r="295" spans="1:23" x14ac:dyDescent="0.35">
      <c r="A295" s="54">
        <v>419</v>
      </c>
      <c r="B295" s="167">
        <v>4</v>
      </c>
      <c r="C295" s="54" t="s">
        <v>126</v>
      </c>
      <c r="D295" s="59" t="s">
        <v>1248</v>
      </c>
      <c r="E295" s="130" t="s">
        <v>1213</v>
      </c>
      <c r="F295" s="54" t="s">
        <v>1466</v>
      </c>
      <c r="G295" s="137">
        <v>368</v>
      </c>
      <c r="H295" s="58">
        <f t="shared" si="13"/>
        <v>0.36799999999999999</v>
      </c>
      <c r="R295" s="176">
        <f t="shared" si="14"/>
        <v>3.68E-4</v>
      </c>
      <c r="S295" s="176"/>
      <c r="T295" s="54" t="s">
        <v>650</v>
      </c>
      <c r="U295" s="54" t="s">
        <v>1253</v>
      </c>
      <c r="V295" s="54" t="s">
        <v>62</v>
      </c>
      <c r="W295" s="54" t="s">
        <v>62</v>
      </c>
    </row>
    <row r="296" spans="1:23" x14ac:dyDescent="0.35">
      <c r="A296" s="54">
        <v>420</v>
      </c>
      <c r="B296" s="167">
        <v>4</v>
      </c>
      <c r="C296" s="54" t="s">
        <v>126</v>
      </c>
      <c r="D296" s="59" t="s">
        <v>1248</v>
      </c>
      <c r="E296" s="130" t="s">
        <v>1203</v>
      </c>
      <c r="F296" s="54" t="s">
        <v>1466</v>
      </c>
      <c r="G296" s="137">
        <v>369</v>
      </c>
      <c r="H296" s="58">
        <f t="shared" si="13"/>
        <v>0.36899999999999999</v>
      </c>
      <c r="R296" s="176">
        <f t="shared" si="14"/>
        <v>3.6899999999999997E-4</v>
      </c>
      <c r="S296" s="176"/>
      <c r="T296" s="54" t="s">
        <v>650</v>
      </c>
      <c r="U296" s="54" t="s">
        <v>1253</v>
      </c>
      <c r="V296" s="54" t="s">
        <v>62</v>
      </c>
      <c r="W296" s="54" t="s">
        <v>62</v>
      </c>
    </row>
    <row r="297" spans="1:23" x14ac:dyDescent="0.35">
      <c r="A297" s="54">
        <v>421</v>
      </c>
      <c r="B297" s="167">
        <v>4</v>
      </c>
      <c r="C297" s="54" t="s">
        <v>126</v>
      </c>
      <c r="D297" s="59" t="s">
        <v>339</v>
      </c>
      <c r="E297" s="130" t="s">
        <v>1235</v>
      </c>
      <c r="F297" s="54" t="s">
        <v>1466</v>
      </c>
      <c r="G297" s="137">
        <v>380</v>
      </c>
      <c r="H297" s="58">
        <f t="shared" si="13"/>
        <v>0.38</v>
      </c>
      <c r="R297" s="176">
        <f t="shared" si="14"/>
        <v>3.7999999999999997E-4</v>
      </c>
      <c r="S297" s="176"/>
      <c r="T297" s="54" t="s">
        <v>650</v>
      </c>
      <c r="U297" s="54" t="s">
        <v>1253</v>
      </c>
      <c r="V297" s="54" t="s">
        <v>62</v>
      </c>
      <c r="W297" s="54" t="s">
        <v>62</v>
      </c>
    </row>
    <row r="298" spans="1:23" x14ac:dyDescent="0.35">
      <c r="A298" s="54">
        <v>422</v>
      </c>
      <c r="B298" s="167">
        <v>4</v>
      </c>
      <c r="C298" s="54" t="s">
        <v>126</v>
      </c>
      <c r="D298" s="59" t="s">
        <v>1248</v>
      </c>
      <c r="E298" s="130" t="s">
        <v>1195</v>
      </c>
      <c r="F298" s="54" t="s">
        <v>1466</v>
      </c>
      <c r="G298" s="137">
        <v>391</v>
      </c>
      <c r="H298" s="58">
        <f t="shared" si="13"/>
        <v>0.39100000000000001</v>
      </c>
      <c r="R298" s="176">
        <f t="shared" si="14"/>
        <v>3.9099999999999996E-4</v>
      </c>
      <c r="S298" s="176"/>
      <c r="T298" s="54" t="s">
        <v>650</v>
      </c>
      <c r="U298" s="54" t="s">
        <v>1253</v>
      </c>
      <c r="V298" s="54" t="s">
        <v>62</v>
      </c>
      <c r="W298" s="54" t="s">
        <v>62</v>
      </c>
    </row>
    <row r="299" spans="1:23" x14ac:dyDescent="0.35">
      <c r="A299" s="54">
        <v>423</v>
      </c>
      <c r="B299" s="167">
        <v>4</v>
      </c>
      <c r="C299" s="54" t="s">
        <v>126</v>
      </c>
      <c r="D299" s="59" t="s">
        <v>1248</v>
      </c>
      <c r="E299" s="130" t="s">
        <v>1194</v>
      </c>
      <c r="F299" s="54" t="s">
        <v>1466</v>
      </c>
      <c r="G299" s="137">
        <v>400</v>
      </c>
      <c r="H299" s="58">
        <f t="shared" si="13"/>
        <v>0.4</v>
      </c>
      <c r="R299" s="176">
        <f t="shared" si="14"/>
        <v>3.9999999999999996E-4</v>
      </c>
      <c r="S299" s="176"/>
      <c r="T299" s="54" t="s">
        <v>650</v>
      </c>
      <c r="U299" s="54" t="s">
        <v>1253</v>
      </c>
      <c r="V299" s="54" t="s">
        <v>62</v>
      </c>
      <c r="W299" s="54" t="s">
        <v>62</v>
      </c>
    </row>
    <row r="300" spans="1:23" x14ac:dyDescent="0.35">
      <c r="A300" s="54">
        <v>424</v>
      </c>
      <c r="B300" s="167">
        <v>4</v>
      </c>
      <c r="C300" s="54" t="s">
        <v>126</v>
      </c>
      <c r="D300" s="59" t="s">
        <v>1248</v>
      </c>
      <c r="E300" s="130" t="s">
        <v>1197</v>
      </c>
      <c r="F300" s="54" t="s">
        <v>1466</v>
      </c>
      <c r="G300" s="137">
        <v>400</v>
      </c>
      <c r="H300" s="58">
        <f t="shared" si="13"/>
        <v>0.4</v>
      </c>
      <c r="R300" s="176">
        <f t="shared" si="14"/>
        <v>3.9999999999999996E-4</v>
      </c>
      <c r="S300" s="176"/>
      <c r="T300" s="54" t="s">
        <v>650</v>
      </c>
      <c r="U300" s="54" t="s">
        <v>1253</v>
      </c>
      <c r="V300" s="54" t="s">
        <v>62</v>
      </c>
      <c r="W300" s="54" t="s">
        <v>62</v>
      </c>
    </row>
    <row r="301" spans="1:23" x14ac:dyDescent="0.35">
      <c r="A301" s="54">
        <v>425</v>
      </c>
      <c r="B301" s="167">
        <v>4</v>
      </c>
      <c r="C301" s="54" t="s">
        <v>126</v>
      </c>
      <c r="D301" s="59" t="s">
        <v>339</v>
      </c>
      <c r="E301" s="130" t="s">
        <v>1239</v>
      </c>
      <c r="F301" s="54" t="s">
        <v>1466</v>
      </c>
      <c r="G301" s="137">
        <v>400</v>
      </c>
      <c r="H301" s="58">
        <f t="shared" si="13"/>
        <v>0.4</v>
      </c>
      <c r="R301" s="176">
        <f t="shared" si="14"/>
        <v>3.9999999999999996E-4</v>
      </c>
      <c r="S301" s="176"/>
      <c r="T301" s="54" t="s">
        <v>650</v>
      </c>
      <c r="U301" s="54" t="s">
        <v>1253</v>
      </c>
      <c r="V301" s="54" t="s">
        <v>62</v>
      </c>
      <c r="W301" s="54" t="s">
        <v>62</v>
      </c>
    </row>
    <row r="302" spans="1:23" x14ac:dyDescent="0.35">
      <c r="A302" s="54">
        <v>426</v>
      </c>
      <c r="B302" s="167">
        <v>4</v>
      </c>
      <c r="C302" s="54" t="s">
        <v>126</v>
      </c>
      <c r="D302" s="59" t="s">
        <v>339</v>
      </c>
      <c r="E302" s="130" t="s">
        <v>1244</v>
      </c>
      <c r="F302" s="54" t="s">
        <v>1466</v>
      </c>
      <c r="G302" s="137">
        <v>400</v>
      </c>
      <c r="H302" s="58">
        <f t="shared" si="13"/>
        <v>0.4</v>
      </c>
      <c r="R302" s="176">
        <f t="shared" si="14"/>
        <v>3.9999999999999996E-4</v>
      </c>
      <c r="S302" s="176"/>
      <c r="T302" s="54" t="s">
        <v>650</v>
      </c>
      <c r="U302" s="54" t="s">
        <v>1253</v>
      </c>
      <c r="V302" s="54" t="s">
        <v>62</v>
      </c>
      <c r="W302" s="54" t="s">
        <v>62</v>
      </c>
    </row>
    <row r="303" spans="1:23" x14ac:dyDescent="0.35">
      <c r="A303" s="54">
        <v>427</v>
      </c>
      <c r="B303" s="167">
        <v>4</v>
      </c>
      <c r="C303" s="54" t="s">
        <v>126</v>
      </c>
      <c r="D303" s="59" t="s">
        <v>1248</v>
      </c>
      <c r="E303" s="130" t="s">
        <v>1179</v>
      </c>
      <c r="F303" s="54" t="s">
        <v>1466</v>
      </c>
      <c r="G303" s="137">
        <v>410</v>
      </c>
      <c r="H303" s="58">
        <f t="shared" si="13"/>
        <v>0.41</v>
      </c>
      <c r="R303" s="176">
        <f t="shared" si="14"/>
        <v>4.0999999999999999E-4</v>
      </c>
      <c r="S303" s="176"/>
      <c r="T303" s="54" t="s">
        <v>650</v>
      </c>
      <c r="U303" s="54" t="s">
        <v>1253</v>
      </c>
      <c r="V303" s="54" t="s">
        <v>62</v>
      </c>
      <c r="W303" s="54" t="s">
        <v>62</v>
      </c>
    </row>
    <row r="304" spans="1:23" x14ac:dyDescent="0.35">
      <c r="A304" s="54">
        <v>428</v>
      </c>
      <c r="B304" s="167">
        <v>4</v>
      </c>
      <c r="C304" s="54" t="s">
        <v>126</v>
      </c>
      <c r="D304" s="59" t="s">
        <v>1248</v>
      </c>
      <c r="E304" s="130" t="s">
        <v>1167</v>
      </c>
      <c r="F304" s="54" t="s">
        <v>1466</v>
      </c>
      <c r="G304" s="137">
        <v>450</v>
      </c>
      <c r="H304" s="58">
        <f t="shared" si="13"/>
        <v>0.45</v>
      </c>
      <c r="R304" s="176">
        <f t="shared" si="14"/>
        <v>4.4999999999999999E-4</v>
      </c>
      <c r="S304" s="176"/>
      <c r="T304" s="54" t="s">
        <v>650</v>
      </c>
      <c r="U304" s="54" t="s">
        <v>1253</v>
      </c>
      <c r="V304" s="54" t="s">
        <v>62</v>
      </c>
      <c r="W304" s="54" t="s">
        <v>62</v>
      </c>
    </row>
    <row r="305" spans="1:23" x14ac:dyDescent="0.35">
      <c r="A305" s="54">
        <v>429</v>
      </c>
      <c r="B305" s="167">
        <v>4</v>
      </c>
      <c r="C305" s="54" t="s">
        <v>126</v>
      </c>
      <c r="D305" s="59" t="s">
        <v>1248</v>
      </c>
      <c r="E305" s="130" t="s">
        <v>1187</v>
      </c>
      <c r="F305" s="54" t="s">
        <v>1466</v>
      </c>
      <c r="G305" s="137">
        <v>450</v>
      </c>
      <c r="H305" s="58">
        <f t="shared" si="13"/>
        <v>0.45</v>
      </c>
      <c r="R305" s="176">
        <f t="shared" si="14"/>
        <v>4.4999999999999999E-4</v>
      </c>
      <c r="S305" s="176"/>
      <c r="T305" s="54" t="s">
        <v>650</v>
      </c>
      <c r="U305" s="54" t="s">
        <v>1253</v>
      </c>
      <c r="V305" s="54" t="s">
        <v>62</v>
      </c>
      <c r="W305" s="54" t="s">
        <v>62</v>
      </c>
    </row>
    <row r="306" spans="1:23" x14ac:dyDescent="0.35">
      <c r="A306" s="54">
        <v>430</v>
      </c>
      <c r="B306" s="167">
        <v>4</v>
      </c>
      <c r="C306" s="54" t="s">
        <v>126</v>
      </c>
      <c r="D306" s="59" t="s">
        <v>1248</v>
      </c>
      <c r="E306" s="130" t="s">
        <v>1202</v>
      </c>
      <c r="F306" s="54" t="s">
        <v>1466</v>
      </c>
      <c r="G306" s="137">
        <v>450</v>
      </c>
      <c r="H306" s="58">
        <f t="shared" si="13"/>
        <v>0.45</v>
      </c>
      <c r="R306" s="176">
        <f t="shared" si="14"/>
        <v>4.4999999999999999E-4</v>
      </c>
      <c r="S306" s="176"/>
      <c r="T306" s="54" t="s">
        <v>650</v>
      </c>
      <c r="U306" s="54" t="s">
        <v>1253</v>
      </c>
      <c r="V306" s="54" t="s">
        <v>62</v>
      </c>
      <c r="W306" s="54" t="s">
        <v>62</v>
      </c>
    </row>
    <row r="307" spans="1:23" x14ac:dyDescent="0.35">
      <c r="A307" s="54">
        <v>431</v>
      </c>
      <c r="B307" s="167">
        <v>4</v>
      </c>
      <c r="C307" s="54" t="s">
        <v>126</v>
      </c>
      <c r="D307" s="59" t="s">
        <v>339</v>
      </c>
      <c r="E307" s="130" t="s">
        <v>1228</v>
      </c>
      <c r="F307" s="54" t="s">
        <v>1466</v>
      </c>
      <c r="G307" s="137">
        <v>450</v>
      </c>
      <c r="H307" s="58">
        <f t="shared" si="13"/>
        <v>0.45</v>
      </c>
      <c r="R307" s="176">
        <f t="shared" si="14"/>
        <v>4.4999999999999999E-4</v>
      </c>
      <c r="S307" s="176"/>
      <c r="T307" s="54" t="s">
        <v>650</v>
      </c>
      <c r="U307" s="54" t="s">
        <v>1253</v>
      </c>
      <c r="V307" s="54" t="s">
        <v>62</v>
      </c>
      <c r="W307" s="54" t="s">
        <v>62</v>
      </c>
    </row>
    <row r="308" spans="1:23" x14ac:dyDescent="0.35">
      <c r="A308" s="54">
        <v>432</v>
      </c>
      <c r="B308" s="167">
        <v>4</v>
      </c>
      <c r="C308" s="54" t="s">
        <v>126</v>
      </c>
      <c r="D308" s="59" t="s">
        <v>339</v>
      </c>
      <c r="E308" s="130" t="s">
        <v>1240</v>
      </c>
      <c r="F308" s="54" t="s">
        <v>1466</v>
      </c>
      <c r="G308" s="137">
        <v>450</v>
      </c>
      <c r="H308" s="58">
        <f t="shared" si="13"/>
        <v>0.45</v>
      </c>
      <c r="R308" s="176">
        <f t="shared" si="14"/>
        <v>4.4999999999999999E-4</v>
      </c>
      <c r="S308" s="176"/>
      <c r="T308" s="54" t="s">
        <v>650</v>
      </c>
      <c r="U308" s="54" t="s">
        <v>1253</v>
      </c>
      <c r="V308" s="54" t="s">
        <v>62</v>
      </c>
      <c r="W308" s="54" t="s">
        <v>62</v>
      </c>
    </row>
    <row r="309" spans="1:23" x14ac:dyDescent="0.35">
      <c r="A309" s="54">
        <v>433</v>
      </c>
      <c r="B309" s="167">
        <v>4</v>
      </c>
      <c r="C309" s="54" t="s">
        <v>126</v>
      </c>
      <c r="D309" s="59" t="s">
        <v>1248</v>
      </c>
      <c r="E309" s="130" t="s">
        <v>1190</v>
      </c>
      <c r="F309" s="54" t="s">
        <v>1466</v>
      </c>
      <c r="G309" s="137">
        <v>460</v>
      </c>
      <c r="H309" s="58">
        <f t="shared" si="13"/>
        <v>0.46</v>
      </c>
      <c r="R309" s="176">
        <f t="shared" si="14"/>
        <v>4.5999999999999996E-4</v>
      </c>
      <c r="S309" s="176"/>
      <c r="T309" s="54" t="s">
        <v>650</v>
      </c>
      <c r="U309" s="54" t="s">
        <v>1253</v>
      </c>
      <c r="V309" s="54" t="s">
        <v>62</v>
      </c>
      <c r="W309" s="54" t="s">
        <v>62</v>
      </c>
    </row>
    <row r="310" spans="1:23" x14ac:dyDescent="0.35">
      <c r="A310" s="54">
        <v>434</v>
      </c>
      <c r="B310" s="167">
        <v>4</v>
      </c>
      <c r="C310" s="54" t="s">
        <v>126</v>
      </c>
      <c r="D310" s="59" t="s">
        <v>1248</v>
      </c>
      <c r="E310" s="130" t="s">
        <v>1182</v>
      </c>
      <c r="F310" s="54" t="s">
        <v>1466</v>
      </c>
      <c r="G310" s="137">
        <v>467</v>
      </c>
      <c r="H310" s="58">
        <f t="shared" si="13"/>
        <v>0.46700000000000003</v>
      </c>
      <c r="R310" s="176">
        <f t="shared" si="14"/>
        <v>4.6699999999999997E-4</v>
      </c>
      <c r="S310" s="176"/>
      <c r="T310" s="54" t="s">
        <v>650</v>
      </c>
      <c r="U310" s="54" t="s">
        <v>1253</v>
      </c>
      <c r="V310" s="54" t="s">
        <v>62</v>
      </c>
      <c r="W310" s="54" t="s">
        <v>62</v>
      </c>
    </row>
    <row r="311" spans="1:23" x14ac:dyDescent="0.35">
      <c r="A311" s="54">
        <v>435</v>
      </c>
      <c r="B311" s="167">
        <v>4</v>
      </c>
      <c r="C311" s="54" t="s">
        <v>126</v>
      </c>
      <c r="D311" s="59" t="s">
        <v>1248</v>
      </c>
      <c r="E311" s="130" t="s">
        <v>1147</v>
      </c>
      <c r="F311" s="54" t="s">
        <v>1466</v>
      </c>
      <c r="G311" s="137">
        <v>470</v>
      </c>
      <c r="H311" s="58">
        <f t="shared" si="13"/>
        <v>0.47</v>
      </c>
      <c r="R311" s="176">
        <f t="shared" si="14"/>
        <v>4.6999999999999999E-4</v>
      </c>
      <c r="S311" s="176"/>
      <c r="T311" s="54" t="s">
        <v>650</v>
      </c>
      <c r="U311" s="54" t="s">
        <v>1253</v>
      </c>
      <c r="V311" s="54" t="s">
        <v>62</v>
      </c>
      <c r="W311" s="54" t="s">
        <v>62</v>
      </c>
    </row>
    <row r="312" spans="1:23" x14ac:dyDescent="0.35">
      <c r="A312" s="54">
        <v>436</v>
      </c>
      <c r="B312" s="167">
        <v>4</v>
      </c>
      <c r="C312" s="54" t="s">
        <v>126</v>
      </c>
      <c r="D312" s="59" t="s">
        <v>1248</v>
      </c>
      <c r="E312" s="130" t="s">
        <v>1212</v>
      </c>
      <c r="F312" s="54" t="s">
        <v>1466</v>
      </c>
      <c r="G312" s="137">
        <v>475</v>
      </c>
      <c r="H312" s="58">
        <f t="shared" si="13"/>
        <v>0.47499999999999998</v>
      </c>
      <c r="R312" s="176">
        <f t="shared" si="14"/>
        <v>4.75E-4</v>
      </c>
      <c r="S312" s="176"/>
      <c r="T312" s="54" t="s">
        <v>650</v>
      </c>
      <c r="U312" s="54" t="s">
        <v>1253</v>
      </c>
      <c r="V312" s="54" t="s">
        <v>62</v>
      </c>
      <c r="W312" s="54" t="s">
        <v>62</v>
      </c>
    </row>
    <row r="313" spans="1:23" x14ac:dyDescent="0.35">
      <c r="A313" s="54">
        <v>437</v>
      </c>
      <c r="B313" s="167">
        <v>4</v>
      </c>
      <c r="C313" s="54" t="s">
        <v>126</v>
      </c>
      <c r="D313" s="59" t="s">
        <v>1248</v>
      </c>
      <c r="E313" s="130" t="s">
        <v>1199</v>
      </c>
      <c r="F313" s="54" t="s">
        <v>1466</v>
      </c>
      <c r="G313" s="137">
        <v>480</v>
      </c>
      <c r="H313" s="58">
        <f t="shared" si="13"/>
        <v>0.48</v>
      </c>
      <c r="R313" s="176">
        <f t="shared" si="14"/>
        <v>4.7999999999999996E-4</v>
      </c>
      <c r="S313" s="176"/>
      <c r="T313" s="54" t="s">
        <v>650</v>
      </c>
      <c r="U313" s="54" t="s">
        <v>1253</v>
      </c>
      <c r="V313" s="54" t="s">
        <v>62</v>
      </c>
      <c r="W313" s="54" t="s">
        <v>62</v>
      </c>
    </row>
    <row r="314" spans="1:23" x14ac:dyDescent="0.35">
      <c r="A314" s="54">
        <v>438</v>
      </c>
      <c r="B314" s="167">
        <v>4</v>
      </c>
      <c r="C314" s="54" t="s">
        <v>126</v>
      </c>
      <c r="D314" s="59" t="s">
        <v>1248</v>
      </c>
      <c r="E314" s="130" t="s">
        <v>1146</v>
      </c>
      <c r="F314" s="54" t="s">
        <v>1466</v>
      </c>
      <c r="G314" s="137">
        <v>481</v>
      </c>
      <c r="H314" s="58">
        <f t="shared" si="13"/>
        <v>0.48099999999999998</v>
      </c>
      <c r="R314" s="176">
        <f t="shared" si="14"/>
        <v>4.8099999999999998E-4</v>
      </c>
      <c r="S314" s="176"/>
      <c r="T314" s="54" t="s">
        <v>650</v>
      </c>
      <c r="U314" s="54" t="s">
        <v>1253</v>
      </c>
      <c r="V314" s="54" t="s">
        <v>62</v>
      </c>
      <c r="W314" s="54" t="s">
        <v>62</v>
      </c>
    </row>
    <row r="315" spans="1:23" x14ac:dyDescent="0.35">
      <c r="A315" s="54">
        <v>439</v>
      </c>
      <c r="B315" s="167">
        <v>4</v>
      </c>
      <c r="C315" s="54" t="s">
        <v>126</v>
      </c>
      <c r="D315" s="59" t="s">
        <v>1248</v>
      </c>
      <c r="E315" s="130" t="s">
        <v>1204</v>
      </c>
      <c r="F315" s="54" t="s">
        <v>1466</v>
      </c>
      <c r="G315" s="137">
        <v>487</v>
      </c>
      <c r="H315" s="58">
        <f t="shared" si="13"/>
        <v>0.48699999999999999</v>
      </c>
      <c r="R315" s="176">
        <f t="shared" si="14"/>
        <v>4.8699999999999997E-4</v>
      </c>
      <c r="S315" s="176"/>
      <c r="T315" s="54" t="s">
        <v>650</v>
      </c>
      <c r="U315" s="54" t="s">
        <v>1253</v>
      </c>
      <c r="V315" s="54" t="s">
        <v>62</v>
      </c>
      <c r="W315" s="54" t="s">
        <v>62</v>
      </c>
    </row>
    <row r="316" spans="1:23" x14ac:dyDescent="0.35">
      <c r="A316" s="54">
        <v>440</v>
      </c>
      <c r="B316" s="167">
        <v>4</v>
      </c>
      <c r="C316" s="54" t="s">
        <v>126</v>
      </c>
      <c r="D316" s="59" t="s">
        <v>1248</v>
      </c>
      <c r="E316" s="130" t="s">
        <v>1143</v>
      </c>
      <c r="F316" s="54" t="s">
        <v>1466</v>
      </c>
      <c r="G316" s="137">
        <v>500</v>
      </c>
      <c r="H316" s="58">
        <f t="shared" si="13"/>
        <v>0.5</v>
      </c>
      <c r="R316" s="176">
        <f t="shared" si="14"/>
        <v>5.0000000000000001E-4</v>
      </c>
      <c r="S316" s="176"/>
      <c r="T316" s="54" t="s">
        <v>650</v>
      </c>
      <c r="U316" s="54" t="s">
        <v>1253</v>
      </c>
      <c r="V316" s="54" t="s">
        <v>62</v>
      </c>
      <c r="W316" s="54" t="s">
        <v>62</v>
      </c>
    </row>
    <row r="317" spans="1:23" x14ac:dyDescent="0.35">
      <c r="A317" s="54">
        <v>441</v>
      </c>
      <c r="B317" s="167">
        <v>4</v>
      </c>
      <c r="C317" s="54" t="s">
        <v>126</v>
      </c>
      <c r="D317" s="59" t="s">
        <v>1248</v>
      </c>
      <c r="E317" s="130" t="s">
        <v>1144</v>
      </c>
      <c r="F317" s="54" t="s">
        <v>1466</v>
      </c>
      <c r="G317" s="137">
        <v>520</v>
      </c>
      <c r="H317" s="58">
        <f t="shared" ref="H317:H348" si="15">G317/1000</f>
        <v>0.52</v>
      </c>
      <c r="R317" s="176">
        <f t="shared" ref="R317:R352" si="16">G317*POWER(10,-6)</f>
        <v>5.1999999999999995E-4</v>
      </c>
      <c r="S317" s="176"/>
      <c r="T317" s="54" t="s">
        <v>650</v>
      </c>
      <c r="U317" s="54" t="s">
        <v>1253</v>
      </c>
      <c r="V317" s="54" t="s">
        <v>62</v>
      </c>
      <c r="W317" s="54" t="s">
        <v>62</v>
      </c>
    </row>
    <row r="318" spans="1:23" x14ac:dyDescent="0.35">
      <c r="A318" s="54">
        <v>442</v>
      </c>
      <c r="B318" s="167">
        <v>4</v>
      </c>
      <c r="C318" s="54" t="s">
        <v>126</v>
      </c>
      <c r="D318" s="59" t="s">
        <v>339</v>
      </c>
      <c r="E318" s="130" t="s">
        <v>1241</v>
      </c>
      <c r="F318" s="54" t="s">
        <v>1466</v>
      </c>
      <c r="G318" s="137">
        <v>523</v>
      </c>
      <c r="H318" s="58">
        <f t="shared" si="15"/>
        <v>0.52300000000000002</v>
      </c>
      <c r="R318" s="176">
        <f t="shared" si="16"/>
        <v>5.2300000000000003E-4</v>
      </c>
      <c r="S318" s="176"/>
      <c r="T318" s="54" t="s">
        <v>650</v>
      </c>
      <c r="U318" s="54" t="s">
        <v>1253</v>
      </c>
      <c r="V318" s="54" t="s">
        <v>62</v>
      </c>
      <c r="W318" s="54" t="s">
        <v>62</v>
      </c>
    </row>
    <row r="319" spans="1:23" x14ac:dyDescent="0.35">
      <c r="A319" s="54">
        <v>443</v>
      </c>
      <c r="B319" s="167">
        <v>4</v>
      </c>
      <c r="C319" s="54" t="s">
        <v>126</v>
      </c>
      <c r="D319" s="59" t="s">
        <v>1248</v>
      </c>
      <c r="E319" s="130" t="s">
        <v>1169</v>
      </c>
      <c r="F319" s="54" t="s">
        <v>1466</v>
      </c>
      <c r="G319" s="137">
        <v>526</v>
      </c>
      <c r="H319" s="58">
        <f t="shared" si="15"/>
        <v>0.52600000000000002</v>
      </c>
      <c r="R319" s="176">
        <f t="shared" si="16"/>
        <v>5.2599999999999999E-4</v>
      </c>
      <c r="S319" s="176"/>
      <c r="T319" s="54" t="s">
        <v>650</v>
      </c>
      <c r="U319" s="54" t="s">
        <v>1253</v>
      </c>
      <c r="V319" s="54" t="s">
        <v>62</v>
      </c>
      <c r="W319" s="54" t="s">
        <v>62</v>
      </c>
    </row>
    <row r="320" spans="1:23" x14ac:dyDescent="0.35">
      <c r="A320" s="54">
        <v>444</v>
      </c>
      <c r="B320" s="167">
        <v>4</v>
      </c>
      <c r="C320" s="54" t="s">
        <v>126</v>
      </c>
      <c r="D320" s="59" t="s">
        <v>1248</v>
      </c>
      <c r="E320" s="130" t="s">
        <v>1164</v>
      </c>
      <c r="F320" s="54" t="s">
        <v>1466</v>
      </c>
      <c r="G320" s="137">
        <v>534</v>
      </c>
      <c r="H320" s="58">
        <f t="shared" si="15"/>
        <v>0.53400000000000003</v>
      </c>
      <c r="R320" s="176">
        <f t="shared" si="16"/>
        <v>5.3399999999999997E-4</v>
      </c>
      <c r="S320" s="176"/>
      <c r="T320" s="54" t="s">
        <v>650</v>
      </c>
      <c r="U320" s="54" t="s">
        <v>1253</v>
      </c>
      <c r="V320" s="54" t="s">
        <v>62</v>
      </c>
      <c r="W320" s="54" t="s">
        <v>62</v>
      </c>
    </row>
    <row r="321" spans="1:24" x14ac:dyDescent="0.35">
      <c r="A321" s="54">
        <v>445</v>
      </c>
      <c r="B321" s="167">
        <v>4</v>
      </c>
      <c r="C321" s="54" t="s">
        <v>126</v>
      </c>
      <c r="D321" s="59" t="s">
        <v>1248</v>
      </c>
      <c r="E321" s="130" t="s">
        <v>1142</v>
      </c>
      <c r="F321" s="54" t="s">
        <v>1466</v>
      </c>
      <c r="G321" s="137">
        <v>554</v>
      </c>
      <c r="H321" s="58">
        <f t="shared" si="15"/>
        <v>0.55400000000000005</v>
      </c>
      <c r="R321" s="176">
        <f t="shared" si="16"/>
        <v>5.5400000000000002E-4</v>
      </c>
      <c r="S321" s="176"/>
      <c r="T321" s="54" t="s">
        <v>650</v>
      </c>
      <c r="U321" s="54" t="s">
        <v>1253</v>
      </c>
      <c r="V321" s="54" t="s">
        <v>62</v>
      </c>
      <c r="W321" s="54" t="s">
        <v>62</v>
      </c>
    </row>
    <row r="322" spans="1:24" x14ac:dyDescent="0.35">
      <c r="A322" s="54">
        <v>446</v>
      </c>
      <c r="B322" s="167">
        <v>4</v>
      </c>
      <c r="C322" s="54" t="s">
        <v>126</v>
      </c>
      <c r="D322" s="59" t="s">
        <v>1248</v>
      </c>
      <c r="E322" s="130" t="s">
        <v>1184</v>
      </c>
      <c r="F322" s="54" t="s">
        <v>1466</v>
      </c>
      <c r="G322" s="137">
        <v>559</v>
      </c>
      <c r="H322" s="58">
        <f t="shared" si="15"/>
        <v>0.55900000000000005</v>
      </c>
      <c r="R322" s="176">
        <f t="shared" si="16"/>
        <v>5.5899999999999993E-4</v>
      </c>
      <c r="S322" s="176"/>
      <c r="T322" s="54" t="s">
        <v>650</v>
      </c>
      <c r="U322" s="54" t="s">
        <v>1253</v>
      </c>
      <c r="V322" s="54" t="s">
        <v>62</v>
      </c>
      <c r="W322" s="54" t="s">
        <v>62</v>
      </c>
    </row>
    <row r="323" spans="1:24" x14ac:dyDescent="0.35">
      <c r="A323" s="54">
        <v>447</v>
      </c>
      <c r="B323" s="167">
        <v>4</v>
      </c>
      <c r="C323" s="54" t="s">
        <v>126</v>
      </c>
      <c r="D323" s="59" t="s">
        <v>1248</v>
      </c>
      <c r="E323" s="130" t="s">
        <v>1177</v>
      </c>
      <c r="F323" s="54" t="s">
        <v>1466</v>
      </c>
      <c r="G323" s="137">
        <v>589</v>
      </c>
      <c r="H323" s="58">
        <f t="shared" si="15"/>
        <v>0.58899999999999997</v>
      </c>
      <c r="R323" s="176">
        <f t="shared" si="16"/>
        <v>5.8900000000000001E-4</v>
      </c>
      <c r="S323" s="176"/>
      <c r="T323" s="54" t="s">
        <v>650</v>
      </c>
      <c r="U323" s="54" t="s">
        <v>1253</v>
      </c>
      <c r="V323" s="54" t="s">
        <v>62</v>
      </c>
      <c r="W323" s="54" t="s">
        <v>62</v>
      </c>
      <c r="X323" s="168"/>
    </row>
    <row r="324" spans="1:24" x14ac:dyDescent="0.35">
      <c r="A324" s="54">
        <v>448</v>
      </c>
      <c r="B324" s="167">
        <v>4</v>
      </c>
      <c r="C324" s="54" t="s">
        <v>126</v>
      </c>
      <c r="D324" s="59" t="s">
        <v>1248</v>
      </c>
      <c r="E324" s="130" t="s">
        <v>1118</v>
      </c>
      <c r="F324" s="54" t="s">
        <v>1466</v>
      </c>
      <c r="G324" s="137">
        <v>600</v>
      </c>
      <c r="H324" s="58">
        <f t="shared" si="15"/>
        <v>0.6</v>
      </c>
      <c r="R324" s="176">
        <f t="shared" si="16"/>
        <v>5.9999999999999995E-4</v>
      </c>
      <c r="S324" s="176"/>
      <c r="T324" s="54" t="s">
        <v>650</v>
      </c>
      <c r="U324" s="54" t="s">
        <v>1253</v>
      </c>
      <c r="V324" s="54" t="s">
        <v>62</v>
      </c>
      <c r="W324" s="54" t="s">
        <v>62</v>
      </c>
    </row>
    <row r="325" spans="1:24" x14ac:dyDescent="0.35">
      <c r="A325" s="54">
        <v>449</v>
      </c>
      <c r="B325" s="167">
        <v>4</v>
      </c>
      <c r="C325" s="54" t="s">
        <v>126</v>
      </c>
      <c r="D325" s="59" t="s">
        <v>1248</v>
      </c>
      <c r="E325" s="130" t="s">
        <v>1119</v>
      </c>
      <c r="F325" s="54" t="s">
        <v>1466</v>
      </c>
      <c r="G325" s="137">
        <v>606</v>
      </c>
      <c r="H325" s="58">
        <f t="shared" si="15"/>
        <v>0.60599999999999998</v>
      </c>
      <c r="R325" s="176">
        <f t="shared" si="16"/>
        <v>6.0599999999999998E-4</v>
      </c>
      <c r="S325" s="176"/>
      <c r="T325" s="54" t="s">
        <v>650</v>
      </c>
      <c r="U325" s="54" t="s">
        <v>1253</v>
      </c>
      <c r="V325" s="54" t="s">
        <v>62</v>
      </c>
      <c r="W325" s="54" t="s">
        <v>62</v>
      </c>
    </row>
    <row r="326" spans="1:24" x14ac:dyDescent="0.35">
      <c r="A326" s="54">
        <v>450</v>
      </c>
      <c r="B326" s="167">
        <v>4</v>
      </c>
      <c r="C326" s="54" t="s">
        <v>126</v>
      </c>
      <c r="D326" s="59" t="s">
        <v>1248</v>
      </c>
      <c r="E326" s="130" t="s">
        <v>1211</v>
      </c>
      <c r="F326" s="54" t="s">
        <v>1466</v>
      </c>
      <c r="G326" s="137">
        <v>615</v>
      </c>
      <c r="H326" s="58">
        <f t="shared" si="15"/>
        <v>0.61499999999999999</v>
      </c>
      <c r="R326" s="176">
        <f t="shared" si="16"/>
        <v>6.1499999999999999E-4</v>
      </c>
      <c r="S326" s="176"/>
      <c r="T326" s="54" t="s">
        <v>650</v>
      </c>
      <c r="U326" s="54" t="s">
        <v>1253</v>
      </c>
      <c r="V326" s="54" t="s">
        <v>62</v>
      </c>
      <c r="W326" s="54" t="s">
        <v>62</v>
      </c>
    </row>
    <row r="327" spans="1:24" x14ac:dyDescent="0.35">
      <c r="A327" s="54">
        <v>451</v>
      </c>
      <c r="B327" s="167">
        <v>4</v>
      </c>
      <c r="C327" s="54" t="s">
        <v>126</v>
      </c>
      <c r="D327" s="59" t="s">
        <v>1248</v>
      </c>
      <c r="E327" s="130" t="s">
        <v>1186</v>
      </c>
      <c r="F327" s="54" t="s">
        <v>1466</v>
      </c>
      <c r="G327" s="137">
        <v>616</v>
      </c>
      <c r="H327" s="58">
        <f t="shared" si="15"/>
        <v>0.61599999999999999</v>
      </c>
      <c r="R327" s="176">
        <f t="shared" si="16"/>
        <v>6.1600000000000001E-4</v>
      </c>
      <c r="S327" s="176"/>
      <c r="T327" s="54" t="s">
        <v>650</v>
      </c>
      <c r="U327" s="54" t="s">
        <v>1253</v>
      </c>
      <c r="V327" s="54" t="s">
        <v>62</v>
      </c>
      <c r="W327" s="54" t="s">
        <v>62</v>
      </c>
    </row>
    <row r="328" spans="1:24" x14ac:dyDescent="0.35">
      <c r="A328" s="54">
        <v>452</v>
      </c>
      <c r="B328" s="167">
        <v>4</v>
      </c>
      <c r="C328" s="54" t="s">
        <v>126</v>
      </c>
      <c r="D328" s="59" t="s">
        <v>1248</v>
      </c>
      <c r="E328" s="130" t="s">
        <v>1172</v>
      </c>
      <c r="F328" s="54" t="s">
        <v>1466</v>
      </c>
      <c r="G328" s="137">
        <v>620</v>
      </c>
      <c r="H328" s="58">
        <f t="shared" si="15"/>
        <v>0.62</v>
      </c>
      <c r="R328" s="176">
        <f t="shared" si="16"/>
        <v>6.2E-4</v>
      </c>
      <c r="S328" s="176"/>
      <c r="T328" s="54" t="s">
        <v>650</v>
      </c>
      <c r="U328" s="54" t="s">
        <v>1253</v>
      </c>
      <c r="V328" s="54" t="s">
        <v>62</v>
      </c>
      <c r="W328" s="54" t="s">
        <v>62</v>
      </c>
    </row>
    <row r="329" spans="1:24" x14ac:dyDescent="0.35">
      <c r="A329" s="54">
        <v>453</v>
      </c>
      <c r="B329" s="167">
        <v>4</v>
      </c>
      <c r="C329" s="54" t="s">
        <v>126</v>
      </c>
      <c r="D329" s="59" t="s">
        <v>1248</v>
      </c>
      <c r="E329" s="130" t="s">
        <v>1192</v>
      </c>
      <c r="F329" s="54" t="s">
        <v>1466</v>
      </c>
      <c r="G329" s="137">
        <v>647</v>
      </c>
      <c r="H329" s="58">
        <f t="shared" si="15"/>
        <v>0.64700000000000002</v>
      </c>
      <c r="R329" s="176">
        <f t="shared" si="16"/>
        <v>6.4700000000000001E-4</v>
      </c>
      <c r="S329" s="176"/>
      <c r="T329" s="54" t="s">
        <v>650</v>
      </c>
      <c r="U329" s="54" t="s">
        <v>1253</v>
      </c>
      <c r="V329" s="54" t="s">
        <v>62</v>
      </c>
      <c r="W329" s="54" t="s">
        <v>62</v>
      </c>
    </row>
    <row r="330" spans="1:24" x14ac:dyDescent="0.35">
      <c r="A330" s="54">
        <v>454</v>
      </c>
      <c r="B330" s="167">
        <v>4</v>
      </c>
      <c r="C330" s="54" t="s">
        <v>126</v>
      </c>
      <c r="D330" s="59" t="s">
        <v>1248</v>
      </c>
      <c r="E330" s="130" t="s">
        <v>1125</v>
      </c>
      <c r="F330" s="54" t="s">
        <v>1466</v>
      </c>
      <c r="G330" s="137">
        <v>652</v>
      </c>
      <c r="H330" s="58">
        <f t="shared" si="15"/>
        <v>0.65200000000000002</v>
      </c>
      <c r="R330" s="176">
        <f t="shared" si="16"/>
        <v>6.5200000000000002E-4</v>
      </c>
      <c r="S330" s="176"/>
      <c r="T330" s="54" t="s">
        <v>650</v>
      </c>
      <c r="U330" s="54" t="s">
        <v>1253</v>
      </c>
      <c r="V330" s="54" t="s">
        <v>62</v>
      </c>
      <c r="W330" s="54" t="s">
        <v>62</v>
      </c>
    </row>
    <row r="331" spans="1:24" x14ac:dyDescent="0.35">
      <c r="A331" s="54">
        <v>455</v>
      </c>
      <c r="B331" s="167">
        <v>4</v>
      </c>
      <c r="C331" s="54" t="s">
        <v>126</v>
      </c>
      <c r="D331" s="59" t="s">
        <v>1248</v>
      </c>
      <c r="E331" s="130" t="s">
        <v>1185</v>
      </c>
      <c r="F331" s="54" t="s">
        <v>1466</v>
      </c>
      <c r="G331" s="137">
        <v>652</v>
      </c>
      <c r="H331" s="58">
        <f t="shared" si="15"/>
        <v>0.65200000000000002</v>
      </c>
      <c r="R331" s="176">
        <f t="shared" si="16"/>
        <v>6.5200000000000002E-4</v>
      </c>
      <c r="S331" s="176"/>
      <c r="T331" s="54" t="s">
        <v>650</v>
      </c>
      <c r="U331" s="54" t="s">
        <v>1253</v>
      </c>
      <c r="V331" s="54" t="s">
        <v>62</v>
      </c>
      <c r="W331" s="54" t="s">
        <v>62</v>
      </c>
    </row>
    <row r="332" spans="1:24" x14ac:dyDescent="0.35">
      <c r="A332" s="54">
        <v>456</v>
      </c>
      <c r="B332" s="167">
        <v>4</v>
      </c>
      <c r="C332" s="54" t="s">
        <v>126</v>
      </c>
      <c r="D332" s="59" t="s">
        <v>1248</v>
      </c>
      <c r="E332" s="130" t="s">
        <v>1210</v>
      </c>
      <c r="F332" s="54" t="s">
        <v>1466</v>
      </c>
      <c r="G332" s="137">
        <v>702</v>
      </c>
      <c r="H332" s="58">
        <f t="shared" si="15"/>
        <v>0.70199999999999996</v>
      </c>
      <c r="R332" s="176">
        <f t="shared" si="16"/>
        <v>7.0199999999999993E-4</v>
      </c>
      <c r="S332" s="176"/>
      <c r="T332" s="54" t="s">
        <v>650</v>
      </c>
      <c r="U332" s="54" t="s">
        <v>1253</v>
      </c>
      <c r="V332" s="54" t="s">
        <v>62</v>
      </c>
      <c r="W332" s="54" t="s">
        <v>62</v>
      </c>
    </row>
    <row r="333" spans="1:24" x14ac:dyDescent="0.35">
      <c r="A333" s="54">
        <v>457</v>
      </c>
      <c r="B333" s="167">
        <v>4</v>
      </c>
      <c r="C333" s="54" t="s">
        <v>126</v>
      </c>
      <c r="D333" s="59" t="s">
        <v>1248</v>
      </c>
      <c r="E333" s="130" t="s">
        <v>1168</v>
      </c>
      <c r="F333" s="54" t="s">
        <v>1466</v>
      </c>
      <c r="G333" s="137">
        <v>716</v>
      </c>
      <c r="H333" s="58">
        <f t="shared" si="15"/>
        <v>0.71599999999999997</v>
      </c>
      <c r="R333" s="176">
        <f t="shared" si="16"/>
        <v>7.1599999999999995E-4</v>
      </c>
      <c r="S333" s="176"/>
      <c r="T333" s="54" t="s">
        <v>650</v>
      </c>
      <c r="U333" s="54" t="s">
        <v>1253</v>
      </c>
      <c r="V333" s="54" t="s">
        <v>62</v>
      </c>
      <c r="W333" s="54" t="s">
        <v>62</v>
      </c>
    </row>
    <row r="334" spans="1:24" x14ac:dyDescent="0.35">
      <c r="A334" s="54">
        <v>458</v>
      </c>
      <c r="B334" s="167">
        <v>4</v>
      </c>
      <c r="C334" s="54" t="s">
        <v>126</v>
      </c>
      <c r="D334" s="59" t="s">
        <v>1248</v>
      </c>
      <c r="E334" s="130" t="s">
        <v>1208</v>
      </c>
      <c r="F334" s="54" t="s">
        <v>1466</v>
      </c>
      <c r="G334" s="137">
        <v>735</v>
      </c>
      <c r="H334" s="58">
        <f t="shared" si="15"/>
        <v>0.73499999999999999</v>
      </c>
      <c r="R334" s="176">
        <f t="shared" si="16"/>
        <v>7.3499999999999998E-4</v>
      </c>
      <c r="S334" s="176"/>
      <c r="T334" s="54" t="s">
        <v>650</v>
      </c>
      <c r="U334" s="54" t="s">
        <v>1253</v>
      </c>
      <c r="V334" s="54" t="s">
        <v>62</v>
      </c>
      <c r="W334" s="54" t="s">
        <v>62</v>
      </c>
    </row>
    <row r="335" spans="1:24" x14ac:dyDescent="0.35">
      <c r="A335" s="54">
        <v>459</v>
      </c>
      <c r="B335" s="167">
        <v>4</v>
      </c>
      <c r="C335" s="54" t="s">
        <v>126</v>
      </c>
      <c r="D335" s="59" t="s">
        <v>1248</v>
      </c>
      <c r="E335" s="130" t="s">
        <v>1166</v>
      </c>
      <c r="F335" s="54" t="s">
        <v>1466</v>
      </c>
      <c r="G335" s="137">
        <v>745</v>
      </c>
      <c r="H335" s="58">
        <f t="shared" si="15"/>
        <v>0.745</v>
      </c>
      <c r="R335" s="176">
        <f t="shared" si="16"/>
        <v>7.45E-4</v>
      </c>
      <c r="S335" s="176"/>
      <c r="T335" s="54" t="s">
        <v>650</v>
      </c>
      <c r="U335" s="54" t="s">
        <v>1253</v>
      </c>
      <c r="V335" s="54" t="s">
        <v>62</v>
      </c>
      <c r="W335" s="54" t="s">
        <v>62</v>
      </c>
    </row>
    <row r="336" spans="1:24" x14ac:dyDescent="0.35">
      <c r="A336" s="54">
        <v>460</v>
      </c>
      <c r="B336" s="167">
        <v>4</v>
      </c>
      <c r="C336" s="54" t="s">
        <v>126</v>
      </c>
      <c r="D336" s="59" t="s">
        <v>1248</v>
      </c>
      <c r="E336" s="130" t="s">
        <v>1209</v>
      </c>
      <c r="F336" s="54" t="s">
        <v>1466</v>
      </c>
      <c r="G336" s="137">
        <v>801</v>
      </c>
      <c r="H336" s="58">
        <f t="shared" si="15"/>
        <v>0.80100000000000005</v>
      </c>
      <c r="R336" s="176">
        <f t="shared" si="16"/>
        <v>8.0099999999999995E-4</v>
      </c>
      <c r="S336" s="176"/>
      <c r="T336" s="54" t="s">
        <v>650</v>
      </c>
      <c r="U336" s="54" t="s">
        <v>1253</v>
      </c>
      <c r="V336" s="54" t="s">
        <v>62</v>
      </c>
      <c r="W336" s="54" t="s">
        <v>62</v>
      </c>
    </row>
    <row r="337" spans="1:23" x14ac:dyDescent="0.35">
      <c r="A337" s="54">
        <v>461</v>
      </c>
      <c r="B337" s="167">
        <v>4</v>
      </c>
      <c r="C337" s="54" t="s">
        <v>126</v>
      </c>
      <c r="D337" s="59" t="s">
        <v>1248</v>
      </c>
      <c r="E337" s="130" t="s">
        <v>1165</v>
      </c>
      <c r="F337" s="54" t="s">
        <v>1466</v>
      </c>
      <c r="G337" s="137">
        <v>847</v>
      </c>
      <c r="H337" s="58">
        <f t="shared" si="15"/>
        <v>0.84699999999999998</v>
      </c>
      <c r="R337" s="176">
        <f t="shared" si="16"/>
        <v>8.4699999999999999E-4</v>
      </c>
      <c r="S337" s="176"/>
      <c r="T337" s="54" t="s">
        <v>650</v>
      </c>
      <c r="U337" s="54" t="s">
        <v>1253</v>
      </c>
      <c r="V337" s="54" t="s">
        <v>62</v>
      </c>
      <c r="W337" s="54" t="s">
        <v>62</v>
      </c>
    </row>
    <row r="338" spans="1:23" x14ac:dyDescent="0.35">
      <c r="A338" s="54">
        <v>462</v>
      </c>
      <c r="B338" s="167">
        <v>4</v>
      </c>
      <c r="C338" s="54" t="s">
        <v>126</v>
      </c>
      <c r="D338" s="59" t="s">
        <v>1248</v>
      </c>
      <c r="E338" s="130" t="s">
        <v>1127</v>
      </c>
      <c r="F338" s="54" t="s">
        <v>1466</v>
      </c>
      <c r="G338" s="137">
        <v>848</v>
      </c>
      <c r="H338" s="58">
        <f t="shared" si="15"/>
        <v>0.84799999999999998</v>
      </c>
      <c r="R338" s="176">
        <f t="shared" si="16"/>
        <v>8.4800000000000001E-4</v>
      </c>
      <c r="S338" s="176"/>
      <c r="T338" s="54" t="s">
        <v>650</v>
      </c>
      <c r="U338" s="54" t="s">
        <v>1253</v>
      </c>
      <c r="V338" s="54" t="s">
        <v>62</v>
      </c>
      <c r="W338" s="54" t="s">
        <v>62</v>
      </c>
    </row>
    <row r="339" spans="1:23" x14ac:dyDescent="0.35">
      <c r="A339" s="54">
        <v>463</v>
      </c>
      <c r="B339" s="167">
        <v>4</v>
      </c>
      <c r="C339" s="54" t="s">
        <v>126</v>
      </c>
      <c r="D339" s="59" t="s">
        <v>1248</v>
      </c>
      <c r="E339" s="130" t="s">
        <v>1162</v>
      </c>
      <c r="F339" s="54" t="s">
        <v>1466</v>
      </c>
      <c r="G339" s="137">
        <v>850</v>
      </c>
      <c r="H339" s="58">
        <f t="shared" si="15"/>
        <v>0.85</v>
      </c>
      <c r="R339" s="176">
        <f t="shared" si="16"/>
        <v>8.4999999999999995E-4</v>
      </c>
      <c r="S339" s="176"/>
      <c r="T339" s="54" t="s">
        <v>650</v>
      </c>
      <c r="U339" s="54" t="s">
        <v>1253</v>
      </c>
      <c r="V339" s="54" t="s">
        <v>62</v>
      </c>
      <c r="W339" s="54" t="s">
        <v>62</v>
      </c>
    </row>
    <row r="340" spans="1:23" x14ac:dyDescent="0.35">
      <c r="A340" s="54">
        <v>464</v>
      </c>
      <c r="B340" s="167">
        <v>4</v>
      </c>
      <c r="C340" s="54" t="s">
        <v>126</v>
      </c>
      <c r="D340" s="59" t="s">
        <v>1248</v>
      </c>
      <c r="E340" s="130" t="s">
        <v>1163</v>
      </c>
      <c r="F340" s="54" t="s">
        <v>1466</v>
      </c>
      <c r="G340" s="137">
        <v>850</v>
      </c>
      <c r="H340" s="58">
        <f t="shared" si="15"/>
        <v>0.85</v>
      </c>
      <c r="R340" s="176">
        <f t="shared" si="16"/>
        <v>8.4999999999999995E-4</v>
      </c>
      <c r="S340" s="176"/>
      <c r="T340" s="54" t="s">
        <v>650</v>
      </c>
      <c r="U340" s="54" t="s">
        <v>1253</v>
      </c>
      <c r="V340" s="54" t="s">
        <v>62</v>
      </c>
      <c r="W340" s="54" t="s">
        <v>62</v>
      </c>
    </row>
    <row r="341" spans="1:23" x14ac:dyDescent="0.35">
      <c r="A341" s="54">
        <v>465</v>
      </c>
      <c r="B341" s="167">
        <v>4</v>
      </c>
      <c r="C341" s="54" t="s">
        <v>126</v>
      </c>
      <c r="D341" s="59" t="s">
        <v>1248</v>
      </c>
      <c r="E341" s="130" t="s">
        <v>1171</v>
      </c>
      <c r="F341" s="54" t="s">
        <v>1466</v>
      </c>
      <c r="G341" s="137">
        <v>875</v>
      </c>
      <c r="H341" s="58">
        <f t="shared" si="15"/>
        <v>0.875</v>
      </c>
      <c r="R341" s="176">
        <f t="shared" si="16"/>
        <v>8.7499999999999991E-4</v>
      </c>
      <c r="S341" s="176"/>
      <c r="T341" s="54" t="s">
        <v>650</v>
      </c>
      <c r="U341" s="54" t="s">
        <v>1253</v>
      </c>
      <c r="V341" s="54" t="s">
        <v>62</v>
      </c>
      <c r="W341" s="54" t="s">
        <v>62</v>
      </c>
    </row>
    <row r="342" spans="1:23" x14ac:dyDescent="0.35">
      <c r="A342" s="54">
        <v>466</v>
      </c>
      <c r="B342" s="167">
        <v>4</v>
      </c>
      <c r="C342" s="54" t="s">
        <v>126</v>
      </c>
      <c r="D342" s="59" t="s">
        <v>1248</v>
      </c>
      <c r="E342" s="130" t="s">
        <v>1175</v>
      </c>
      <c r="F342" s="54" t="s">
        <v>1466</v>
      </c>
      <c r="G342" s="137">
        <v>902.5</v>
      </c>
      <c r="H342" s="58">
        <f t="shared" si="15"/>
        <v>0.90249999999999997</v>
      </c>
      <c r="R342" s="176">
        <f t="shared" si="16"/>
        <v>9.0249999999999998E-4</v>
      </c>
      <c r="S342" s="176"/>
      <c r="T342" s="54" t="s">
        <v>650</v>
      </c>
      <c r="U342" s="54" t="s">
        <v>1253</v>
      </c>
      <c r="V342" s="54" t="s">
        <v>62</v>
      </c>
      <c r="W342" s="54" t="s">
        <v>62</v>
      </c>
    </row>
    <row r="343" spans="1:23" x14ac:dyDescent="0.35">
      <c r="A343" s="54">
        <v>467</v>
      </c>
      <c r="B343" s="167">
        <v>4</v>
      </c>
      <c r="C343" s="54" t="s">
        <v>126</v>
      </c>
      <c r="D343" s="59" t="s">
        <v>1248</v>
      </c>
      <c r="E343" s="130" t="s">
        <v>1170</v>
      </c>
      <c r="F343" s="54" t="s">
        <v>1466</v>
      </c>
      <c r="G343" s="137">
        <v>921</v>
      </c>
      <c r="H343" s="58">
        <f t="shared" si="15"/>
        <v>0.92100000000000004</v>
      </c>
      <c r="R343" s="176">
        <f t="shared" si="16"/>
        <v>9.2099999999999994E-4</v>
      </c>
      <c r="S343" s="176"/>
      <c r="T343" s="54" t="s">
        <v>650</v>
      </c>
      <c r="U343" s="54" t="s">
        <v>1253</v>
      </c>
      <c r="V343" s="54" t="s">
        <v>62</v>
      </c>
      <c r="W343" s="54" t="s">
        <v>62</v>
      </c>
    </row>
    <row r="344" spans="1:23" x14ac:dyDescent="0.35">
      <c r="A344" s="54">
        <v>468</v>
      </c>
      <c r="B344" s="167">
        <v>4</v>
      </c>
      <c r="C344" s="54" t="s">
        <v>126</v>
      </c>
      <c r="D344" s="59" t="s">
        <v>1248</v>
      </c>
      <c r="E344" s="130" t="s">
        <v>1128</v>
      </c>
      <c r="F344" s="54" t="s">
        <v>1466</v>
      </c>
      <c r="G344" s="137">
        <v>928</v>
      </c>
      <c r="H344" s="58">
        <f t="shared" si="15"/>
        <v>0.92800000000000005</v>
      </c>
      <c r="R344" s="176">
        <f t="shared" si="16"/>
        <v>9.2800000000000001E-4</v>
      </c>
      <c r="S344" s="176"/>
      <c r="T344" s="54" t="s">
        <v>650</v>
      </c>
      <c r="U344" s="54" t="s">
        <v>1253</v>
      </c>
      <c r="V344" s="54" t="s">
        <v>62</v>
      </c>
      <c r="W344" s="54" t="s">
        <v>62</v>
      </c>
    </row>
    <row r="345" spans="1:23" x14ac:dyDescent="0.35">
      <c r="A345" s="54">
        <v>469</v>
      </c>
      <c r="B345" s="167">
        <v>4</v>
      </c>
      <c r="C345" s="54" t="s">
        <v>126</v>
      </c>
      <c r="D345" s="59" t="s">
        <v>1248</v>
      </c>
      <c r="E345" s="130" t="s">
        <v>1126</v>
      </c>
      <c r="F345" s="54" t="s">
        <v>1466</v>
      </c>
      <c r="G345" s="137">
        <v>932</v>
      </c>
      <c r="H345" s="58">
        <f t="shared" si="15"/>
        <v>0.93200000000000005</v>
      </c>
      <c r="R345" s="176">
        <f t="shared" si="16"/>
        <v>9.3199999999999999E-4</v>
      </c>
      <c r="S345" s="176"/>
      <c r="T345" s="54" t="s">
        <v>650</v>
      </c>
      <c r="U345" s="54" t="s">
        <v>1253</v>
      </c>
      <c r="V345" s="54" t="s">
        <v>62</v>
      </c>
      <c r="W345" s="54" t="s">
        <v>62</v>
      </c>
    </row>
    <row r="346" spans="1:23" x14ac:dyDescent="0.35">
      <c r="A346" s="54">
        <v>470</v>
      </c>
      <c r="B346" s="167">
        <v>4</v>
      </c>
      <c r="C346" s="54" t="s">
        <v>126</v>
      </c>
      <c r="D346" s="59" t="s">
        <v>1248</v>
      </c>
      <c r="E346" s="130" t="s">
        <v>1183</v>
      </c>
      <c r="F346" s="54" t="s">
        <v>1466</v>
      </c>
      <c r="G346" s="137">
        <v>1010</v>
      </c>
      <c r="H346" s="137">
        <f t="shared" si="15"/>
        <v>1.01</v>
      </c>
      <c r="R346" s="176">
        <f t="shared" si="16"/>
        <v>1.01E-3</v>
      </c>
      <c r="S346" s="176"/>
      <c r="T346" s="54" t="s">
        <v>650</v>
      </c>
      <c r="U346" s="54" t="s">
        <v>1253</v>
      </c>
      <c r="V346" s="54" t="s">
        <v>62</v>
      </c>
      <c r="W346" s="54" t="s">
        <v>62</v>
      </c>
    </row>
    <row r="347" spans="1:23" x14ac:dyDescent="0.35">
      <c r="A347" s="54">
        <v>471</v>
      </c>
      <c r="B347" s="167">
        <v>4</v>
      </c>
      <c r="C347" s="54" t="s">
        <v>126</v>
      </c>
      <c r="D347" s="59" t="s">
        <v>1248</v>
      </c>
      <c r="E347" s="130" t="s">
        <v>1181</v>
      </c>
      <c r="F347" s="54" t="s">
        <v>1466</v>
      </c>
      <c r="G347" s="137">
        <v>1172</v>
      </c>
      <c r="H347" s="137">
        <f t="shared" si="15"/>
        <v>1.1719999999999999</v>
      </c>
      <c r="R347" s="176">
        <f t="shared" si="16"/>
        <v>1.1719999999999999E-3</v>
      </c>
      <c r="S347" s="176"/>
      <c r="T347" s="54" t="s">
        <v>650</v>
      </c>
      <c r="U347" s="54" t="s">
        <v>1253</v>
      </c>
      <c r="V347" s="54" t="s">
        <v>62</v>
      </c>
      <c r="W347" s="54" t="s">
        <v>62</v>
      </c>
    </row>
    <row r="348" spans="1:23" x14ac:dyDescent="0.35">
      <c r="A348" s="54">
        <v>472</v>
      </c>
      <c r="B348" s="167">
        <v>4</v>
      </c>
      <c r="C348" s="54" t="s">
        <v>126</v>
      </c>
      <c r="D348" s="59" t="s">
        <v>339</v>
      </c>
      <c r="E348" s="130" t="s">
        <v>1231</v>
      </c>
      <c r="F348" s="54" t="s">
        <v>1466</v>
      </c>
      <c r="G348" s="137">
        <v>1260</v>
      </c>
      <c r="H348" s="137">
        <f t="shared" si="15"/>
        <v>1.26</v>
      </c>
      <c r="R348" s="176">
        <f t="shared" si="16"/>
        <v>1.2599999999999998E-3</v>
      </c>
      <c r="S348" s="176"/>
      <c r="T348" s="54" t="s">
        <v>650</v>
      </c>
      <c r="U348" s="54" t="s">
        <v>1253</v>
      </c>
      <c r="V348" s="54" t="s">
        <v>62</v>
      </c>
      <c r="W348" s="54" t="s">
        <v>62</v>
      </c>
    </row>
    <row r="349" spans="1:23" x14ac:dyDescent="0.35">
      <c r="A349" s="54">
        <v>473</v>
      </c>
      <c r="B349" s="167">
        <v>4</v>
      </c>
      <c r="C349" s="54" t="s">
        <v>126</v>
      </c>
      <c r="D349" s="59" t="s">
        <v>339</v>
      </c>
      <c r="E349" s="130" t="s">
        <v>1232</v>
      </c>
      <c r="F349" s="54" t="s">
        <v>1466</v>
      </c>
      <c r="G349" s="137">
        <v>1500</v>
      </c>
      <c r="H349" s="137">
        <f t="shared" ref="H349:H380" si="17">G349/1000</f>
        <v>1.5</v>
      </c>
      <c r="R349" s="176">
        <f t="shared" si="16"/>
        <v>1.5E-3</v>
      </c>
      <c r="S349" s="176"/>
      <c r="T349" s="54" t="s">
        <v>650</v>
      </c>
      <c r="U349" s="54" t="s">
        <v>1253</v>
      </c>
      <c r="V349" s="54" t="s">
        <v>62</v>
      </c>
      <c r="W349" s="54" t="s">
        <v>62</v>
      </c>
    </row>
    <row r="350" spans="1:23" x14ac:dyDescent="0.35">
      <c r="A350" s="54">
        <v>474</v>
      </c>
      <c r="B350" s="167">
        <v>4</v>
      </c>
      <c r="C350" s="54" t="s">
        <v>126</v>
      </c>
      <c r="D350" s="59" t="s">
        <v>1248</v>
      </c>
      <c r="E350" s="130" t="s">
        <v>1174</v>
      </c>
      <c r="F350" s="54" t="s">
        <v>1466</v>
      </c>
      <c r="G350" s="137">
        <v>1700</v>
      </c>
      <c r="H350" s="137">
        <f t="shared" si="17"/>
        <v>1.7</v>
      </c>
      <c r="R350" s="176">
        <f t="shared" si="16"/>
        <v>1.6999999999999999E-3</v>
      </c>
      <c r="S350" s="176"/>
      <c r="T350" s="54" t="s">
        <v>650</v>
      </c>
      <c r="U350" s="54" t="s">
        <v>1253</v>
      </c>
      <c r="V350" s="54" t="s">
        <v>62</v>
      </c>
      <c r="W350" s="54" t="s">
        <v>62</v>
      </c>
    </row>
    <row r="351" spans="1:23" x14ac:dyDescent="0.35">
      <c r="A351" s="54">
        <v>475</v>
      </c>
      <c r="B351" s="167">
        <v>4</v>
      </c>
      <c r="C351" s="54" t="s">
        <v>126</v>
      </c>
      <c r="D351" s="59" t="s">
        <v>1248</v>
      </c>
      <c r="E351" s="130" t="s">
        <v>1148</v>
      </c>
      <c r="F351" s="54" t="s">
        <v>1466</v>
      </c>
      <c r="G351" s="137">
        <v>1903</v>
      </c>
      <c r="H351" s="137">
        <f t="shared" si="17"/>
        <v>1.903</v>
      </c>
      <c r="R351" s="176">
        <f t="shared" si="16"/>
        <v>1.903E-3</v>
      </c>
      <c r="S351" s="176"/>
      <c r="T351" s="54" t="s">
        <v>650</v>
      </c>
      <c r="U351" s="54" t="s">
        <v>1253</v>
      </c>
      <c r="V351" s="54" t="s">
        <v>62</v>
      </c>
      <c r="W351" s="54" t="s">
        <v>62</v>
      </c>
    </row>
    <row r="352" spans="1:23" x14ac:dyDescent="0.35">
      <c r="A352" s="54">
        <v>476</v>
      </c>
      <c r="B352" s="167">
        <v>4</v>
      </c>
      <c r="C352" s="54" t="s">
        <v>126</v>
      </c>
      <c r="D352" s="59" t="s">
        <v>1248</v>
      </c>
      <c r="E352" s="130" t="s">
        <v>1173</v>
      </c>
      <c r="F352" s="54" t="s">
        <v>1466</v>
      </c>
      <c r="G352" s="137">
        <v>1978</v>
      </c>
      <c r="H352" s="137">
        <f t="shared" si="17"/>
        <v>1.978</v>
      </c>
      <c r="R352" s="176">
        <f t="shared" si="16"/>
        <v>1.9779999999999997E-3</v>
      </c>
      <c r="S352" s="176"/>
      <c r="T352" s="54" t="s">
        <v>650</v>
      </c>
      <c r="U352" s="54" t="s">
        <v>1253</v>
      </c>
      <c r="V352" s="54" t="s">
        <v>62</v>
      </c>
      <c r="W352" s="54" t="s">
        <v>62</v>
      </c>
    </row>
    <row r="353" spans="1:23" x14ac:dyDescent="0.35">
      <c r="A353" s="54">
        <v>478</v>
      </c>
      <c r="B353" s="167">
        <v>4</v>
      </c>
      <c r="C353" s="54" t="s">
        <v>126</v>
      </c>
      <c r="D353" s="50" t="s">
        <v>869</v>
      </c>
      <c r="E353" s="131" t="s">
        <v>65</v>
      </c>
      <c r="F353" s="54" t="s">
        <v>1466</v>
      </c>
      <c r="G353" s="99"/>
      <c r="J353" s="60"/>
      <c r="K353" s="84"/>
      <c r="L353" s="58">
        <f>N353*POWER(10,6)</f>
        <v>9.9999999999999991E-6</v>
      </c>
      <c r="M353" s="58">
        <f>N353*POWER(10,3)</f>
        <v>1E-8</v>
      </c>
      <c r="N353" s="54">
        <v>9.9999999999999994E-12</v>
      </c>
      <c r="P353" s="52"/>
      <c r="Q353" s="52"/>
      <c r="R353" s="177"/>
      <c r="S353" s="177"/>
      <c r="T353" s="50" t="s">
        <v>57</v>
      </c>
      <c r="U353" s="50" t="s">
        <v>62</v>
      </c>
      <c r="V353" s="54" t="s">
        <v>62</v>
      </c>
      <c r="W353" s="50" t="s">
        <v>62</v>
      </c>
    </row>
    <row r="354" spans="1:23" x14ac:dyDescent="0.35">
      <c r="A354" s="54">
        <v>479</v>
      </c>
      <c r="B354" s="167">
        <v>4</v>
      </c>
      <c r="C354" s="54" t="s">
        <v>126</v>
      </c>
      <c r="D354" s="50" t="s">
        <v>869</v>
      </c>
      <c r="E354" s="131" t="s">
        <v>95</v>
      </c>
      <c r="F354" s="54" t="s">
        <v>1466</v>
      </c>
      <c r="G354" s="99"/>
      <c r="J354" s="60"/>
      <c r="K354" s="84"/>
      <c r="L354" s="58">
        <f>N354*POWER(10,6)</f>
        <v>10</v>
      </c>
      <c r="M354" s="58">
        <f>N354*POWER(10,3)</f>
        <v>0.01</v>
      </c>
      <c r="N354" s="54">
        <v>1.0000000000000001E-5</v>
      </c>
      <c r="P354" s="52"/>
      <c r="Q354" s="52"/>
      <c r="R354" s="177"/>
      <c r="S354" s="177"/>
      <c r="T354" s="50" t="s">
        <v>57</v>
      </c>
      <c r="U354" s="50" t="s">
        <v>62</v>
      </c>
      <c r="V354" s="54" t="s">
        <v>62</v>
      </c>
      <c r="W354" s="50" t="s">
        <v>62</v>
      </c>
    </row>
    <row r="355" spans="1:23" x14ac:dyDescent="0.35">
      <c r="A355" s="54">
        <v>480</v>
      </c>
      <c r="B355" s="99">
        <v>4</v>
      </c>
      <c r="C355" s="54" t="s">
        <v>126</v>
      </c>
      <c r="D355" s="55" t="s">
        <v>127</v>
      </c>
      <c r="E355" s="130" t="s">
        <v>129</v>
      </c>
      <c r="F355" s="54" t="s">
        <v>1466</v>
      </c>
      <c r="G355" s="99"/>
      <c r="K355" s="58">
        <f>V355*1000000</f>
        <v>1</v>
      </c>
      <c r="L355" s="58">
        <f>N355*1000000</f>
        <v>1</v>
      </c>
      <c r="N355" s="58">
        <f>0.001/1000</f>
        <v>9.9999999999999995E-7</v>
      </c>
      <c r="R355" s="176"/>
      <c r="S355" s="176"/>
      <c r="T355" s="54" t="s">
        <v>130</v>
      </c>
      <c r="V355" s="58">
        <f>0.001/1000</f>
        <v>9.9999999999999995E-7</v>
      </c>
      <c r="W355" s="54" t="s">
        <v>62</v>
      </c>
    </row>
    <row r="356" spans="1:23" x14ac:dyDescent="0.35">
      <c r="A356" s="54">
        <v>481</v>
      </c>
      <c r="B356" s="99">
        <v>4</v>
      </c>
      <c r="C356" s="54" t="s">
        <v>126</v>
      </c>
      <c r="D356" s="54" t="s">
        <v>339</v>
      </c>
      <c r="E356" s="130" t="s">
        <v>412</v>
      </c>
      <c r="F356" s="54" t="s">
        <v>1466</v>
      </c>
      <c r="G356" s="99"/>
      <c r="Q356" s="58">
        <v>1.5400000000000001E-6</v>
      </c>
      <c r="R356" s="176"/>
      <c r="S356" s="176"/>
      <c r="T356" s="54" t="s">
        <v>413</v>
      </c>
      <c r="V356" s="54" t="s">
        <v>62</v>
      </c>
      <c r="W356" s="54" t="s">
        <v>62</v>
      </c>
    </row>
    <row r="357" spans="1:23" x14ac:dyDescent="0.35">
      <c r="A357" s="54">
        <v>487</v>
      </c>
      <c r="B357" s="99">
        <v>4</v>
      </c>
      <c r="C357" s="54" t="s">
        <v>126</v>
      </c>
      <c r="D357" s="54" t="s">
        <v>156</v>
      </c>
      <c r="E357" s="130" t="s">
        <v>65</v>
      </c>
      <c r="F357" s="54" t="s">
        <v>1466</v>
      </c>
      <c r="G357" s="99"/>
      <c r="L357" s="58">
        <f>N357*POWER(10,6)</f>
        <v>1</v>
      </c>
      <c r="M357" s="58">
        <f>N357*POWER(10,3)</f>
        <v>1E-3</v>
      </c>
      <c r="N357" s="58">
        <f>POWER(10,-6)</f>
        <v>9.9999999999999995E-7</v>
      </c>
      <c r="R357" s="176"/>
      <c r="S357" s="176"/>
      <c r="T357" s="54" t="s">
        <v>57</v>
      </c>
      <c r="U357" s="54" t="s">
        <v>157</v>
      </c>
      <c r="V357" s="54" t="s">
        <v>62</v>
      </c>
      <c r="W357" s="54" t="s">
        <v>62</v>
      </c>
    </row>
    <row r="358" spans="1:23" x14ac:dyDescent="0.35">
      <c r="A358" s="54">
        <v>488</v>
      </c>
      <c r="B358" s="99">
        <v>5</v>
      </c>
      <c r="C358" s="54" t="s">
        <v>144</v>
      </c>
      <c r="D358" s="54" t="s">
        <v>156</v>
      </c>
      <c r="E358" s="130" t="s">
        <v>62</v>
      </c>
      <c r="F358" s="54" t="s">
        <v>1466</v>
      </c>
      <c r="G358" s="99"/>
      <c r="I358" s="58">
        <v>100</v>
      </c>
      <c r="R358" s="176"/>
      <c r="S358" s="176">
        <f>I358/1000000</f>
        <v>1E-4</v>
      </c>
      <c r="T358" s="54" t="s">
        <v>35</v>
      </c>
      <c r="V358" s="54" t="s">
        <v>62</v>
      </c>
      <c r="W358" s="54" t="s">
        <v>62</v>
      </c>
    </row>
    <row r="359" spans="1:23" x14ac:dyDescent="0.35">
      <c r="A359" s="54">
        <v>489</v>
      </c>
      <c r="B359" s="99">
        <v>5</v>
      </c>
      <c r="C359" s="54" t="s">
        <v>144</v>
      </c>
      <c r="D359" s="54" t="s">
        <v>144</v>
      </c>
      <c r="E359" s="130" t="s">
        <v>145</v>
      </c>
      <c r="F359" s="54" t="s">
        <v>1466</v>
      </c>
      <c r="G359" s="99">
        <v>4000</v>
      </c>
      <c r="H359" s="137">
        <f t="shared" ref="H359:H364" si="18">G359/1000</f>
        <v>4</v>
      </c>
      <c r="Q359" s="58">
        <f>2.1/1000</f>
        <v>2.1000000000000003E-3</v>
      </c>
      <c r="R359" s="176">
        <f t="shared" ref="R359:R364" si="19">G359*POWER(10,-6)</f>
        <v>4.0000000000000001E-3</v>
      </c>
      <c r="S359" s="176">
        <f t="shared" ref="S359:S364" si="20">Q359*0.4</f>
        <v>8.4000000000000014E-4</v>
      </c>
      <c r="T359" s="54" t="s">
        <v>146</v>
      </c>
      <c r="U359" s="54" t="s">
        <v>147</v>
      </c>
      <c r="V359" s="54">
        <v>2.1</v>
      </c>
      <c r="W359" s="54" t="s">
        <v>62</v>
      </c>
    </row>
    <row r="360" spans="1:23" x14ac:dyDescent="0.35">
      <c r="A360" s="54">
        <v>490</v>
      </c>
      <c r="B360" s="99">
        <v>5</v>
      </c>
      <c r="C360" s="54" t="s">
        <v>144</v>
      </c>
      <c r="D360" s="54" t="s">
        <v>144</v>
      </c>
      <c r="E360" s="130" t="s">
        <v>148</v>
      </c>
      <c r="F360" s="54" t="s">
        <v>1466</v>
      </c>
      <c r="G360" s="99">
        <v>4000</v>
      </c>
      <c r="H360" s="137">
        <f t="shared" si="18"/>
        <v>4</v>
      </c>
      <c r="Q360" s="58">
        <f>2.2/1000</f>
        <v>2.2000000000000001E-3</v>
      </c>
      <c r="R360" s="176">
        <f t="shared" si="19"/>
        <v>4.0000000000000001E-3</v>
      </c>
      <c r="S360" s="176">
        <f t="shared" si="20"/>
        <v>8.8000000000000014E-4</v>
      </c>
      <c r="T360" s="54" t="s">
        <v>146</v>
      </c>
      <c r="U360" s="54" t="s">
        <v>147</v>
      </c>
      <c r="V360" s="54">
        <v>2.2000000000000002</v>
      </c>
      <c r="W360" s="54" t="s">
        <v>62</v>
      </c>
    </row>
    <row r="361" spans="1:23" x14ac:dyDescent="0.35">
      <c r="A361" s="54">
        <v>491</v>
      </c>
      <c r="B361" s="99">
        <v>5</v>
      </c>
      <c r="C361" s="54" t="s">
        <v>144</v>
      </c>
      <c r="D361" s="54" t="s">
        <v>144</v>
      </c>
      <c r="E361" s="130" t="s">
        <v>150</v>
      </c>
      <c r="F361" s="54" t="s">
        <v>1466</v>
      </c>
      <c r="G361" s="99">
        <v>12000</v>
      </c>
      <c r="H361" s="137">
        <f t="shared" si="18"/>
        <v>12</v>
      </c>
      <c r="Q361" s="58">
        <f>6.2/1000</f>
        <v>6.1999999999999998E-3</v>
      </c>
      <c r="R361" s="176">
        <f t="shared" si="19"/>
        <v>1.2E-2</v>
      </c>
      <c r="S361" s="176">
        <f t="shared" si="20"/>
        <v>2.48E-3</v>
      </c>
      <c r="T361" s="54" t="s">
        <v>146</v>
      </c>
      <c r="U361" s="54" t="s">
        <v>147</v>
      </c>
      <c r="V361" s="54">
        <v>6.2</v>
      </c>
      <c r="W361" s="54" t="s">
        <v>62</v>
      </c>
    </row>
    <row r="362" spans="1:23" x14ac:dyDescent="0.35">
      <c r="A362" s="54">
        <v>492</v>
      </c>
      <c r="B362" s="99">
        <v>5</v>
      </c>
      <c r="C362" s="54" t="s">
        <v>144</v>
      </c>
      <c r="D362" s="54" t="s">
        <v>144</v>
      </c>
      <c r="E362" s="130" t="s">
        <v>151</v>
      </c>
      <c r="F362" s="54" t="s">
        <v>1466</v>
      </c>
      <c r="G362" s="99">
        <v>12000</v>
      </c>
      <c r="H362" s="137">
        <f t="shared" si="18"/>
        <v>12</v>
      </c>
      <c r="Q362" s="58">
        <f>6.7/1000</f>
        <v>6.7000000000000002E-3</v>
      </c>
      <c r="R362" s="176">
        <f t="shared" si="19"/>
        <v>1.2E-2</v>
      </c>
      <c r="S362" s="176">
        <f t="shared" si="20"/>
        <v>2.6800000000000001E-3</v>
      </c>
      <c r="T362" s="54" t="s">
        <v>146</v>
      </c>
      <c r="U362" s="54" t="s">
        <v>147</v>
      </c>
      <c r="V362" s="54">
        <v>6.7</v>
      </c>
      <c r="W362" s="54" t="s">
        <v>62</v>
      </c>
    </row>
    <row r="363" spans="1:23" x14ac:dyDescent="0.35">
      <c r="A363" s="54">
        <v>493</v>
      </c>
      <c r="B363" s="99">
        <v>5</v>
      </c>
      <c r="C363" s="54" t="s">
        <v>144</v>
      </c>
      <c r="D363" s="54" t="s">
        <v>144</v>
      </c>
      <c r="E363" s="130" t="s">
        <v>149</v>
      </c>
      <c r="F363" s="54" t="s">
        <v>1466</v>
      </c>
      <c r="G363" s="99">
        <v>9000</v>
      </c>
      <c r="H363" s="137">
        <f t="shared" si="18"/>
        <v>9</v>
      </c>
      <c r="Q363" s="58">
        <f>8.7/1000</f>
        <v>8.6999999999999994E-3</v>
      </c>
      <c r="R363" s="176">
        <f t="shared" si="19"/>
        <v>8.9999999999999993E-3</v>
      </c>
      <c r="S363" s="176">
        <f t="shared" si="20"/>
        <v>3.48E-3</v>
      </c>
      <c r="T363" s="54" t="s">
        <v>146</v>
      </c>
      <c r="U363" s="54" t="s">
        <v>147</v>
      </c>
      <c r="V363" s="54">
        <v>8.6999999999999993</v>
      </c>
      <c r="W363" s="54" t="s">
        <v>62</v>
      </c>
    </row>
    <row r="364" spans="1:23" x14ac:dyDescent="0.35">
      <c r="A364" s="54">
        <v>494</v>
      </c>
      <c r="B364" s="99">
        <v>5</v>
      </c>
      <c r="C364" s="54" t="s">
        <v>144</v>
      </c>
      <c r="D364" s="54" t="s">
        <v>144</v>
      </c>
      <c r="E364" s="130" t="s">
        <v>152</v>
      </c>
      <c r="F364" s="54" t="s">
        <v>1466</v>
      </c>
      <c r="G364" s="99">
        <v>19000</v>
      </c>
      <c r="H364" s="137">
        <f t="shared" si="18"/>
        <v>19</v>
      </c>
      <c r="Q364" s="58">
        <f>16/1000</f>
        <v>1.6E-2</v>
      </c>
      <c r="R364" s="176">
        <f t="shared" si="19"/>
        <v>1.9E-2</v>
      </c>
      <c r="S364" s="176">
        <f t="shared" si="20"/>
        <v>6.4000000000000003E-3</v>
      </c>
      <c r="T364" s="54" t="s">
        <v>146</v>
      </c>
      <c r="U364" s="54" t="s">
        <v>147</v>
      </c>
      <c r="V364" s="54">
        <v>16</v>
      </c>
      <c r="W364" s="54" t="s">
        <v>62</v>
      </c>
    </row>
    <row r="365" spans="1:23" x14ac:dyDescent="0.35">
      <c r="A365" s="54">
        <v>495</v>
      </c>
      <c r="B365" s="99">
        <v>5</v>
      </c>
      <c r="C365" s="54" t="s">
        <v>144</v>
      </c>
      <c r="D365" s="54" t="s">
        <v>144</v>
      </c>
      <c r="E365" s="130" t="s">
        <v>1564</v>
      </c>
      <c r="F365" s="54" t="s">
        <v>1466</v>
      </c>
      <c r="H365" s="137"/>
      <c r="N365" s="58">
        <v>20</v>
      </c>
      <c r="R365" s="176"/>
      <c r="S365" s="176">
        <f>N365*0.1</f>
        <v>2</v>
      </c>
      <c r="T365" s="54" t="s">
        <v>1077</v>
      </c>
      <c r="V365" s="54" t="s">
        <v>62</v>
      </c>
      <c r="W365" s="54" t="s">
        <v>1078</v>
      </c>
    </row>
    <row r="366" spans="1:23" x14ac:dyDescent="0.35">
      <c r="A366" s="54">
        <v>477</v>
      </c>
      <c r="B366" s="99">
        <v>5</v>
      </c>
      <c r="C366" s="54" t="s">
        <v>144</v>
      </c>
      <c r="D366" s="54" t="s">
        <v>756</v>
      </c>
      <c r="E366" s="130" t="s">
        <v>95</v>
      </c>
      <c r="F366" s="54" t="s">
        <v>1466</v>
      </c>
      <c r="G366" s="99">
        <v>16175</v>
      </c>
      <c r="H366" s="137">
        <f>G366/1000</f>
        <v>16.175000000000001</v>
      </c>
      <c r="R366" s="176">
        <f>G366*POWER(10,-6)</f>
        <v>1.6174999999999998E-2</v>
      </c>
      <c r="S366" s="176"/>
      <c r="T366" s="54" t="s">
        <v>759</v>
      </c>
      <c r="V366" s="54" t="s">
        <v>62</v>
      </c>
      <c r="W366" s="54" t="s">
        <v>62</v>
      </c>
    </row>
    <row r="367" spans="1:23" x14ac:dyDescent="0.35">
      <c r="A367" s="54">
        <v>482</v>
      </c>
      <c r="B367" s="167">
        <v>5</v>
      </c>
      <c r="C367" s="50" t="s">
        <v>144</v>
      </c>
      <c r="D367" s="50" t="s">
        <v>156</v>
      </c>
      <c r="E367" s="131" t="s">
        <v>65</v>
      </c>
      <c r="F367" s="54" t="s">
        <v>1466</v>
      </c>
      <c r="G367" s="99"/>
      <c r="J367" s="60"/>
      <c r="K367" s="84"/>
      <c r="L367" s="58">
        <f>N367*POWER(10,6)</f>
        <v>1</v>
      </c>
      <c r="M367" s="58">
        <f>N367*POWER(10,3)</f>
        <v>1E-3</v>
      </c>
      <c r="N367" s="54">
        <v>9.9999999999999995E-7</v>
      </c>
      <c r="P367" s="52"/>
      <c r="Q367" s="52"/>
      <c r="R367" s="177"/>
      <c r="S367" s="177"/>
      <c r="T367" s="50" t="s">
        <v>57</v>
      </c>
      <c r="U367" s="50" t="s">
        <v>62</v>
      </c>
      <c r="V367" s="54" t="s">
        <v>62</v>
      </c>
      <c r="W367" s="50" t="s">
        <v>62</v>
      </c>
    </row>
    <row r="368" spans="1:23" x14ac:dyDescent="0.35">
      <c r="A368" s="54">
        <v>483</v>
      </c>
      <c r="B368" s="167">
        <v>5</v>
      </c>
      <c r="C368" s="50" t="s">
        <v>144</v>
      </c>
      <c r="D368" s="50" t="s">
        <v>156</v>
      </c>
      <c r="E368" s="131" t="s">
        <v>95</v>
      </c>
      <c r="F368" s="54" t="s">
        <v>1466</v>
      </c>
      <c r="G368" s="99"/>
      <c r="J368" s="60"/>
      <c r="K368" s="84"/>
      <c r="L368" s="58">
        <f>N368*POWER(10,6)</f>
        <v>10000000</v>
      </c>
      <c r="M368" s="58">
        <f>N368*POWER(10,3)</f>
        <v>10000</v>
      </c>
      <c r="N368" s="54">
        <v>10</v>
      </c>
      <c r="P368" s="52"/>
      <c r="Q368" s="52"/>
      <c r="R368" s="177"/>
      <c r="S368" s="177"/>
      <c r="T368" s="50" t="s">
        <v>57</v>
      </c>
      <c r="U368" s="50" t="s">
        <v>62</v>
      </c>
      <c r="V368" s="54" t="s">
        <v>62</v>
      </c>
      <c r="W368" s="50" t="s">
        <v>62</v>
      </c>
    </row>
    <row r="369" spans="1:23" x14ac:dyDescent="0.35">
      <c r="A369" s="54">
        <v>484</v>
      </c>
      <c r="B369" s="167">
        <v>5</v>
      </c>
      <c r="C369" s="50" t="s">
        <v>144</v>
      </c>
      <c r="D369" s="50" t="s">
        <v>153</v>
      </c>
      <c r="E369" s="131" t="s">
        <v>65</v>
      </c>
      <c r="F369" s="54" t="s">
        <v>1466</v>
      </c>
      <c r="G369" s="99"/>
      <c r="J369" s="60"/>
      <c r="K369" s="84"/>
      <c r="L369" s="58">
        <f>N369*POWER(10,6)</f>
        <v>1000</v>
      </c>
      <c r="M369" s="58">
        <f>N369*POWER(10,3)</f>
        <v>1</v>
      </c>
      <c r="N369" s="54">
        <v>1E-3</v>
      </c>
      <c r="P369" s="52"/>
      <c r="Q369" s="52"/>
      <c r="R369" s="177"/>
      <c r="S369" s="177"/>
      <c r="T369" s="50" t="s">
        <v>57</v>
      </c>
      <c r="U369" s="50" t="s">
        <v>62</v>
      </c>
      <c r="V369" s="50" t="s">
        <v>62</v>
      </c>
      <c r="W369" s="50" t="s">
        <v>62</v>
      </c>
    </row>
    <row r="370" spans="1:23" x14ac:dyDescent="0.35">
      <c r="A370" s="54">
        <v>485</v>
      </c>
      <c r="B370" s="167">
        <v>5</v>
      </c>
      <c r="C370" s="50" t="s">
        <v>144</v>
      </c>
      <c r="D370" s="50" t="s">
        <v>153</v>
      </c>
      <c r="E370" s="131" t="s">
        <v>95</v>
      </c>
      <c r="F370" s="54" t="s">
        <v>1466</v>
      </c>
      <c r="G370" s="99"/>
      <c r="J370" s="60"/>
      <c r="K370" s="84"/>
      <c r="L370" s="58">
        <f>N370*POWER(10,6)</f>
        <v>1000000000</v>
      </c>
      <c r="M370" s="58">
        <f>N370*POWER(10,3)</f>
        <v>1000000</v>
      </c>
      <c r="N370" s="54">
        <v>1000</v>
      </c>
      <c r="P370" s="52"/>
      <c r="Q370" s="52"/>
      <c r="R370" s="177"/>
      <c r="S370" s="177"/>
      <c r="T370" s="50" t="s">
        <v>57</v>
      </c>
      <c r="U370" s="50" t="s">
        <v>62</v>
      </c>
      <c r="V370" s="50" t="s">
        <v>62</v>
      </c>
      <c r="W370" s="50" t="s">
        <v>62</v>
      </c>
    </row>
    <row r="371" spans="1:23" x14ac:dyDescent="0.35">
      <c r="A371" s="54">
        <v>496</v>
      </c>
      <c r="B371" s="99">
        <v>5</v>
      </c>
      <c r="C371" s="54" t="s">
        <v>144</v>
      </c>
      <c r="D371" s="54" t="s">
        <v>144</v>
      </c>
      <c r="E371" s="130" t="s">
        <v>1057</v>
      </c>
      <c r="F371" s="54" t="s">
        <v>1466</v>
      </c>
      <c r="G371" s="99">
        <v>500</v>
      </c>
      <c r="H371" s="137">
        <f>G371/1000</f>
        <v>0.5</v>
      </c>
      <c r="R371" s="176">
        <f>G371*POWER(10,-6)</f>
        <v>5.0000000000000001E-4</v>
      </c>
      <c r="S371" s="176"/>
      <c r="T371" s="54" t="s">
        <v>1354</v>
      </c>
      <c r="V371" s="54">
        <v>0.5</v>
      </c>
      <c r="W371" s="54" t="s">
        <v>62</v>
      </c>
    </row>
    <row r="372" spans="1:23" x14ac:dyDescent="0.35">
      <c r="A372" s="54">
        <v>497</v>
      </c>
      <c r="B372" s="99">
        <v>5</v>
      </c>
      <c r="C372" s="54" t="s">
        <v>144</v>
      </c>
      <c r="D372" s="54" t="s">
        <v>153</v>
      </c>
      <c r="E372" s="130" t="s">
        <v>65</v>
      </c>
      <c r="F372" s="54" t="s">
        <v>1466</v>
      </c>
      <c r="G372" s="99"/>
      <c r="R372" s="176">
        <f>2/100</f>
        <v>0.02</v>
      </c>
      <c r="S372" s="176"/>
      <c r="T372" s="54" t="s">
        <v>154</v>
      </c>
      <c r="U372" s="54" t="s">
        <v>155</v>
      </c>
      <c r="V372" s="54" t="s">
        <v>62</v>
      </c>
      <c r="W372" s="54" t="s">
        <v>62</v>
      </c>
    </row>
    <row r="373" spans="1:23" x14ac:dyDescent="0.35">
      <c r="A373" s="54">
        <v>498</v>
      </c>
      <c r="B373" s="99">
        <v>5</v>
      </c>
      <c r="C373" s="54" t="s">
        <v>144</v>
      </c>
      <c r="D373" s="54" t="s">
        <v>153</v>
      </c>
      <c r="E373" s="130" t="s">
        <v>95</v>
      </c>
      <c r="F373" s="54" t="s">
        <v>1466</v>
      </c>
      <c r="G373" s="99"/>
      <c r="R373" s="176">
        <f>20/100</f>
        <v>0.2</v>
      </c>
      <c r="S373" s="176"/>
      <c r="T373" s="54" t="s">
        <v>154</v>
      </c>
      <c r="U373" s="54" t="s">
        <v>155</v>
      </c>
      <c r="V373" s="54" t="s">
        <v>62</v>
      </c>
      <c r="W373" s="54" t="s">
        <v>62</v>
      </c>
    </row>
    <row r="374" spans="1:23" x14ac:dyDescent="0.35">
      <c r="A374" s="54">
        <v>499</v>
      </c>
      <c r="B374" s="99">
        <v>5</v>
      </c>
      <c r="C374" s="54" t="s">
        <v>144</v>
      </c>
      <c r="D374" s="54" t="s">
        <v>153</v>
      </c>
      <c r="E374" s="130" t="s">
        <v>95</v>
      </c>
      <c r="F374" s="54" t="s">
        <v>1466</v>
      </c>
      <c r="G374" s="99"/>
      <c r="R374" s="176">
        <f>20/100</f>
        <v>0.2</v>
      </c>
      <c r="S374" s="176"/>
      <c r="T374" s="54" t="s">
        <v>154</v>
      </c>
      <c r="U374" s="54" t="s">
        <v>155</v>
      </c>
      <c r="V374" s="54" t="s">
        <v>62</v>
      </c>
      <c r="W374" s="54" t="s">
        <v>62</v>
      </c>
    </row>
    <row r="375" spans="1:23" x14ac:dyDescent="0.35">
      <c r="A375" s="54">
        <v>500</v>
      </c>
      <c r="B375" s="99">
        <v>5</v>
      </c>
      <c r="C375" s="54" t="s">
        <v>144</v>
      </c>
      <c r="D375" s="54" t="s">
        <v>153</v>
      </c>
      <c r="E375" s="130" t="s">
        <v>65</v>
      </c>
      <c r="F375" s="54" t="s">
        <v>1466</v>
      </c>
      <c r="G375" s="99"/>
      <c r="L375" s="58">
        <f>N375*POWER(10,6)</f>
        <v>1000</v>
      </c>
      <c r="M375" s="58">
        <f>N375*POWER(10,3)</f>
        <v>1</v>
      </c>
      <c r="N375" s="58">
        <f>POWER(10,-3)</f>
        <v>1E-3</v>
      </c>
      <c r="R375" s="176"/>
      <c r="S375" s="176"/>
      <c r="T375" s="54" t="s">
        <v>57</v>
      </c>
      <c r="U375" s="54" t="s">
        <v>158</v>
      </c>
      <c r="V375" s="54" t="s">
        <v>62</v>
      </c>
      <c r="W375" s="54" t="s">
        <v>62</v>
      </c>
    </row>
    <row r="376" spans="1:23" x14ac:dyDescent="0.35">
      <c r="A376" s="54">
        <v>501</v>
      </c>
      <c r="B376" s="99">
        <v>5</v>
      </c>
      <c r="C376" s="54" t="s">
        <v>144</v>
      </c>
      <c r="D376" s="54" t="s">
        <v>153</v>
      </c>
      <c r="E376" s="130" t="s">
        <v>411</v>
      </c>
      <c r="F376" s="54" t="s">
        <v>1466</v>
      </c>
      <c r="G376" s="99"/>
      <c r="Q376" s="58">
        <v>9.3899999999999995E-4</v>
      </c>
      <c r="R376" s="176"/>
      <c r="S376" s="176"/>
      <c r="T376" s="54" t="s">
        <v>413</v>
      </c>
      <c r="V376" s="54" t="s">
        <v>62</v>
      </c>
      <c r="W376" s="54" t="s">
        <v>62</v>
      </c>
    </row>
    <row r="377" spans="1:23" x14ac:dyDescent="0.35">
      <c r="A377" s="54">
        <v>502</v>
      </c>
      <c r="B377" s="99">
        <v>5</v>
      </c>
      <c r="C377" s="54" t="s">
        <v>144</v>
      </c>
      <c r="D377" s="54" t="s">
        <v>144</v>
      </c>
      <c r="E377" s="130" t="s">
        <v>414</v>
      </c>
      <c r="F377" s="54" t="s">
        <v>1466</v>
      </c>
      <c r="G377" s="99"/>
      <c r="Q377" s="58">
        <v>6.5799999999999997E-2</v>
      </c>
      <c r="R377" s="176"/>
      <c r="S377" s="176"/>
      <c r="T377" s="54" t="s">
        <v>413</v>
      </c>
      <c r="V377" s="54" t="s">
        <v>62</v>
      </c>
      <c r="W377" s="54" t="s">
        <v>1487</v>
      </c>
    </row>
    <row r="378" spans="1:23" x14ac:dyDescent="0.35">
      <c r="A378" s="54">
        <v>503</v>
      </c>
      <c r="B378" s="99">
        <v>5</v>
      </c>
      <c r="C378" s="54" t="s">
        <v>144</v>
      </c>
      <c r="D378" s="54" t="s">
        <v>156</v>
      </c>
      <c r="E378" s="130" t="s">
        <v>95</v>
      </c>
      <c r="F378" s="54" t="s">
        <v>1466</v>
      </c>
      <c r="G378" s="99"/>
      <c r="L378" s="58">
        <f>N378*POWER(10,6)</f>
        <v>10000000</v>
      </c>
      <c r="M378" s="58">
        <f>N378*POWER(10,3)</f>
        <v>10000</v>
      </c>
      <c r="N378" s="58">
        <v>10</v>
      </c>
      <c r="R378" s="176"/>
      <c r="S378" s="176"/>
      <c r="T378" s="54" t="s">
        <v>57</v>
      </c>
      <c r="U378" s="54" t="s">
        <v>157</v>
      </c>
      <c r="V378" s="54" t="s">
        <v>62</v>
      </c>
      <c r="W378" s="54" t="s">
        <v>62</v>
      </c>
    </row>
    <row r="379" spans="1:23" x14ac:dyDescent="0.35">
      <c r="A379" s="54">
        <v>504</v>
      </c>
      <c r="B379" s="99">
        <v>5</v>
      </c>
      <c r="C379" s="54" t="s">
        <v>144</v>
      </c>
      <c r="D379" s="54" t="s">
        <v>153</v>
      </c>
      <c r="E379" s="130" t="s">
        <v>95</v>
      </c>
      <c r="F379" s="54" t="s">
        <v>1466</v>
      </c>
      <c r="G379" s="99"/>
      <c r="L379" s="58">
        <f>N379*POWER(10,6)</f>
        <v>1000000000</v>
      </c>
      <c r="M379" s="58">
        <f>N379*POWER(10,3)</f>
        <v>1000000</v>
      </c>
      <c r="N379" s="58">
        <v>1000</v>
      </c>
      <c r="R379" s="176"/>
      <c r="S379" s="176"/>
      <c r="T379" s="54" t="s">
        <v>57</v>
      </c>
      <c r="U379" s="54" t="s">
        <v>158</v>
      </c>
      <c r="V379" s="54" t="s">
        <v>62</v>
      </c>
      <c r="W379" s="54" t="s">
        <v>62</v>
      </c>
    </row>
    <row r="380" spans="1:23" x14ac:dyDescent="0.35">
      <c r="A380" s="54">
        <v>534</v>
      </c>
      <c r="B380" s="99" t="s">
        <v>62</v>
      </c>
      <c r="C380" s="54" t="s">
        <v>53</v>
      </c>
      <c r="D380" s="54" t="s">
        <v>53</v>
      </c>
      <c r="E380" s="130" t="s">
        <v>1504</v>
      </c>
      <c r="F380" s="54" t="s">
        <v>62</v>
      </c>
      <c r="R380" s="176"/>
      <c r="S380" s="176">
        <v>1.4999999999999999E-15</v>
      </c>
      <c r="T380" s="58" t="s">
        <v>1409</v>
      </c>
      <c r="W380" s="54" t="s">
        <v>1548</v>
      </c>
    </row>
    <row r="381" spans="1:23" x14ac:dyDescent="0.35">
      <c r="A381" s="54">
        <v>536</v>
      </c>
      <c r="B381" s="99" t="s">
        <v>62</v>
      </c>
      <c r="C381" s="54" t="s">
        <v>53</v>
      </c>
      <c r="D381" s="54" t="s">
        <v>53</v>
      </c>
      <c r="E381" s="130" t="s">
        <v>1506</v>
      </c>
      <c r="F381" s="54" t="s">
        <v>62</v>
      </c>
      <c r="R381" s="176"/>
      <c r="S381" s="176">
        <v>2.0999999999999998E-15</v>
      </c>
      <c r="T381" s="58" t="s">
        <v>1409</v>
      </c>
      <c r="W381" s="54" t="s">
        <v>1548</v>
      </c>
    </row>
    <row r="382" spans="1:23" x14ac:dyDescent="0.35">
      <c r="A382" s="54">
        <v>535</v>
      </c>
      <c r="B382" s="99" t="s">
        <v>62</v>
      </c>
      <c r="C382" s="54" t="s">
        <v>53</v>
      </c>
      <c r="D382" s="54" t="s">
        <v>53</v>
      </c>
      <c r="E382" s="130" t="s">
        <v>1505</v>
      </c>
      <c r="F382" s="54" t="s">
        <v>62</v>
      </c>
      <c r="R382" s="176"/>
      <c r="S382" s="176">
        <v>1.0500000000000001E-14</v>
      </c>
      <c r="T382" s="58" t="s">
        <v>1409</v>
      </c>
      <c r="W382" s="54" t="s">
        <v>1548</v>
      </c>
    </row>
    <row r="383" spans="1:23" x14ac:dyDescent="0.35">
      <c r="A383" s="54">
        <v>542</v>
      </c>
      <c r="B383" s="99" t="s">
        <v>62</v>
      </c>
      <c r="C383" s="54" t="s">
        <v>53</v>
      </c>
      <c r="D383" s="54" t="s">
        <v>53</v>
      </c>
      <c r="E383" s="130" t="s">
        <v>1512</v>
      </c>
      <c r="F383" s="54" t="s">
        <v>62</v>
      </c>
      <c r="R383" s="176"/>
      <c r="S383" s="176">
        <v>1.0500000000000001E-14</v>
      </c>
      <c r="T383" s="58" t="s">
        <v>1409</v>
      </c>
      <c r="U383" s="54" t="s">
        <v>20</v>
      </c>
      <c r="W383" s="54" t="s">
        <v>1548</v>
      </c>
    </row>
    <row r="384" spans="1:23" x14ac:dyDescent="0.35">
      <c r="A384" s="54">
        <v>530</v>
      </c>
      <c r="B384" s="99" t="s">
        <v>62</v>
      </c>
      <c r="C384" s="54" t="s">
        <v>53</v>
      </c>
      <c r="D384" s="54" t="s">
        <v>53</v>
      </c>
      <c r="E384" s="130" t="s">
        <v>1500</v>
      </c>
      <c r="F384" s="54" t="s">
        <v>62</v>
      </c>
      <c r="R384" s="176"/>
      <c r="S384" s="176">
        <v>1.4999999999999999E-14</v>
      </c>
      <c r="T384" s="58" t="s">
        <v>1409</v>
      </c>
      <c r="W384" s="54" t="s">
        <v>1548</v>
      </c>
    </row>
    <row r="385" spans="1:23" x14ac:dyDescent="0.35">
      <c r="A385" s="54">
        <v>533</v>
      </c>
      <c r="B385" s="99" t="s">
        <v>62</v>
      </c>
      <c r="C385" s="54" t="s">
        <v>53</v>
      </c>
      <c r="D385" s="54" t="s">
        <v>53</v>
      </c>
      <c r="E385" s="130" t="s">
        <v>1503</v>
      </c>
      <c r="F385" s="54" t="s">
        <v>62</v>
      </c>
      <c r="R385" s="176"/>
      <c r="S385" s="176">
        <v>1.4999999999999999E-14</v>
      </c>
      <c r="T385" s="58" t="s">
        <v>1409</v>
      </c>
      <c r="W385" s="54" t="s">
        <v>1548</v>
      </c>
    </row>
    <row r="386" spans="1:23" x14ac:dyDescent="0.35">
      <c r="A386" s="54">
        <v>526</v>
      </c>
      <c r="B386" s="99" t="s">
        <v>62</v>
      </c>
      <c r="C386" s="54" t="s">
        <v>1094</v>
      </c>
      <c r="D386" s="54" t="s">
        <v>1094</v>
      </c>
      <c r="E386" s="130" t="s">
        <v>1496</v>
      </c>
      <c r="F386" s="54" t="s">
        <v>62</v>
      </c>
      <c r="R386" s="176"/>
      <c r="S386" s="176">
        <v>1.6499999999999999E-14</v>
      </c>
      <c r="T386" s="58" t="s">
        <v>1409</v>
      </c>
      <c r="W386" s="54" t="s">
        <v>1548</v>
      </c>
    </row>
    <row r="387" spans="1:23" x14ac:dyDescent="0.35">
      <c r="A387" s="54">
        <v>543</v>
      </c>
      <c r="B387" s="99" t="s">
        <v>62</v>
      </c>
      <c r="C387" s="54" t="s">
        <v>53</v>
      </c>
      <c r="D387" s="54" t="s">
        <v>53</v>
      </c>
      <c r="E387" s="130" t="s">
        <v>1513</v>
      </c>
      <c r="F387" s="54" t="s">
        <v>62</v>
      </c>
      <c r="R387" s="176"/>
      <c r="S387" s="176">
        <v>3.8999999999999998E-14</v>
      </c>
      <c r="T387" s="58" t="s">
        <v>1409</v>
      </c>
      <c r="U387" s="54" t="s">
        <v>20</v>
      </c>
      <c r="W387" s="54" t="s">
        <v>1548</v>
      </c>
    </row>
    <row r="388" spans="1:23" x14ac:dyDescent="0.35">
      <c r="A388" s="54">
        <v>527</v>
      </c>
      <c r="B388" s="99" t="s">
        <v>62</v>
      </c>
      <c r="C388" s="54" t="s">
        <v>1094</v>
      </c>
      <c r="D388" s="54" t="s">
        <v>1094</v>
      </c>
      <c r="E388" s="130" t="s">
        <v>1497</v>
      </c>
      <c r="F388" s="54" t="s">
        <v>62</v>
      </c>
      <c r="R388" s="176"/>
      <c r="S388" s="176">
        <v>5.9999999999999997E-14</v>
      </c>
      <c r="T388" s="58" t="s">
        <v>1409</v>
      </c>
      <c r="U388" s="54" t="s">
        <v>20</v>
      </c>
      <c r="W388" s="54" t="s">
        <v>1548</v>
      </c>
    </row>
    <row r="389" spans="1:23" x14ac:dyDescent="0.35">
      <c r="A389" s="54">
        <v>528</v>
      </c>
      <c r="B389" s="99" t="s">
        <v>62</v>
      </c>
      <c r="C389" s="54" t="s">
        <v>1094</v>
      </c>
      <c r="D389" s="54" t="s">
        <v>1094</v>
      </c>
      <c r="E389" s="130" t="s">
        <v>1498</v>
      </c>
      <c r="F389" s="54" t="s">
        <v>62</v>
      </c>
      <c r="R389" s="176"/>
      <c r="S389" s="176">
        <v>5.9999999999999997E-14</v>
      </c>
      <c r="T389" s="58" t="s">
        <v>1409</v>
      </c>
      <c r="U389" s="54" t="s">
        <v>20</v>
      </c>
      <c r="W389" s="54" t="s">
        <v>1548</v>
      </c>
    </row>
    <row r="390" spans="1:23" x14ac:dyDescent="0.35">
      <c r="A390" s="54">
        <v>532</v>
      </c>
      <c r="B390" s="99" t="s">
        <v>62</v>
      </c>
      <c r="C390" s="54" t="s">
        <v>53</v>
      </c>
      <c r="D390" s="54" t="s">
        <v>53</v>
      </c>
      <c r="E390" s="130" t="s">
        <v>1502</v>
      </c>
      <c r="F390" s="54" t="s">
        <v>62</v>
      </c>
      <c r="R390" s="176"/>
      <c r="S390" s="176">
        <v>6.0724999999999989E-14</v>
      </c>
      <c r="T390" s="58" t="s">
        <v>1409</v>
      </c>
      <c r="U390" s="54" t="s">
        <v>20</v>
      </c>
      <c r="W390" s="54" t="s">
        <v>1548</v>
      </c>
    </row>
    <row r="391" spans="1:23" x14ac:dyDescent="0.35">
      <c r="A391" s="54">
        <v>531</v>
      </c>
      <c r="B391" s="99" t="s">
        <v>62</v>
      </c>
      <c r="C391" s="54" t="s">
        <v>53</v>
      </c>
      <c r="D391" s="54" t="s">
        <v>53</v>
      </c>
      <c r="E391" s="130" t="s">
        <v>1501</v>
      </c>
      <c r="F391" s="54" t="s">
        <v>62</v>
      </c>
      <c r="R391" s="176"/>
      <c r="S391" s="176">
        <v>8.9999999999999995E-14</v>
      </c>
      <c r="T391" s="58" t="s">
        <v>1409</v>
      </c>
      <c r="U391" s="54" t="s">
        <v>20</v>
      </c>
      <c r="W391" s="54" t="s">
        <v>1548</v>
      </c>
    </row>
    <row r="392" spans="1:23" x14ac:dyDescent="0.35">
      <c r="A392" s="54">
        <v>538</v>
      </c>
      <c r="B392" s="99" t="s">
        <v>62</v>
      </c>
      <c r="C392" s="54" t="s">
        <v>53</v>
      </c>
      <c r="D392" s="54" t="s">
        <v>53</v>
      </c>
      <c r="E392" s="130" t="s">
        <v>1508</v>
      </c>
      <c r="F392" s="54" t="s">
        <v>62</v>
      </c>
      <c r="R392" s="176"/>
      <c r="S392" s="176">
        <v>8.9999999999999995E-14</v>
      </c>
      <c r="T392" s="58" t="s">
        <v>1409</v>
      </c>
      <c r="U392" s="54" t="s">
        <v>20</v>
      </c>
      <c r="W392" s="54" t="s">
        <v>1548</v>
      </c>
    </row>
    <row r="393" spans="1:23" x14ac:dyDescent="0.35">
      <c r="A393" s="54">
        <v>537</v>
      </c>
      <c r="B393" s="99" t="s">
        <v>62</v>
      </c>
      <c r="C393" s="54" t="s">
        <v>53</v>
      </c>
      <c r="D393" s="54" t="s">
        <v>53</v>
      </c>
      <c r="E393" s="130" t="s">
        <v>1507</v>
      </c>
      <c r="F393" s="54" t="s">
        <v>62</v>
      </c>
      <c r="R393" s="176"/>
      <c r="S393" s="176">
        <v>3.7499999999999997E-13</v>
      </c>
      <c r="T393" s="58" t="s">
        <v>1409</v>
      </c>
      <c r="U393" s="54" t="s">
        <v>20</v>
      </c>
      <c r="W393" s="54" t="s">
        <v>1548</v>
      </c>
    </row>
    <row r="394" spans="1:23" x14ac:dyDescent="0.35">
      <c r="A394" s="54">
        <v>551</v>
      </c>
      <c r="B394" s="99" t="s">
        <v>62</v>
      </c>
      <c r="C394" s="54" t="s">
        <v>1494</v>
      </c>
      <c r="D394" s="54" t="s">
        <v>1399</v>
      </c>
      <c r="E394" s="130" t="s">
        <v>1521</v>
      </c>
      <c r="F394" s="54" t="s">
        <v>62</v>
      </c>
      <c r="R394" s="176"/>
      <c r="S394" s="176">
        <v>6.3000000000000004E-13</v>
      </c>
      <c r="T394" s="58" t="s">
        <v>1409</v>
      </c>
      <c r="U394" s="54" t="s">
        <v>20</v>
      </c>
      <c r="W394" s="54" t="s">
        <v>1548</v>
      </c>
    </row>
    <row r="395" spans="1:23" x14ac:dyDescent="0.35">
      <c r="A395" s="54">
        <v>554</v>
      </c>
      <c r="B395" s="99" t="s">
        <v>62</v>
      </c>
      <c r="C395" s="54" t="s">
        <v>1494</v>
      </c>
      <c r="D395" s="54" t="s">
        <v>1402</v>
      </c>
      <c r="E395" s="130" t="s">
        <v>1524</v>
      </c>
      <c r="F395" s="54" t="s">
        <v>62</v>
      </c>
      <c r="R395" s="176"/>
      <c r="S395" s="176">
        <v>6.6000000000000001E-13</v>
      </c>
      <c r="T395" s="58" t="s">
        <v>1409</v>
      </c>
      <c r="U395" s="54" t="s">
        <v>20</v>
      </c>
      <c r="W395" s="54" t="s">
        <v>1548</v>
      </c>
    </row>
    <row r="396" spans="1:23" x14ac:dyDescent="0.35">
      <c r="A396" s="54">
        <v>529</v>
      </c>
      <c r="B396" s="99" t="s">
        <v>62</v>
      </c>
      <c r="C396" s="54" t="s">
        <v>1094</v>
      </c>
      <c r="D396" s="54" t="s">
        <v>1094</v>
      </c>
      <c r="E396" s="130" t="s">
        <v>1499</v>
      </c>
      <c r="F396" s="54" t="s">
        <v>62</v>
      </c>
      <c r="R396" s="176"/>
      <c r="S396" s="176">
        <v>1.77205460616549E-12</v>
      </c>
      <c r="T396" s="58" t="s">
        <v>1409</v>
      </c>
      <c r="U396" s="54" t="s">
        <v>20</v>
      </c>
      <c r="W396" s="54" t="s">
        <v>1548</v>
      </c>
    </row>
    <row r="397" spans="1:23" x14ac:dyDescent="0.35">
      <c r="A397" s="54">
        <v>545</v>
      </c>
      <c r="B397" s="99" t="s">
        <v>62</v>
      </c>
      <c r="C397" s="54" t="s">
        <v>1494</v>
      </c>
      <c r="D397" s="54" t="s">
        <v>1392</v>
      </c>
      <c r="E397" s="130" t="s">
        <v>1515</v>
      </c>
      <c r="F397" s="54" t="s">
        <v>62</v>
      </c>
      <c r="R397" s="176"/>
      <c r="S397" s="176">
        <v>2.7500000000000002E-12</v>
      </c>
      <c r="T397" s="58" t="s">
        <v>1409</v>
      </c>
      <c r="U397" s="54" t="s">
        <v>20</v>
      </c>
      <c r="W397" s="54" t="s">
        <v>1548</v>
      </c>
    </row>
    <row r="398" spans="1:23" x14ac:dyDescent="0.35">
      <c r="A398" s="54">
        <v>547</v>
      </c>
      <c r="B398" s="99" t="s">
        <v>62</v>
      </c>
      <c r="C398" s="54" t="s">
        <v>1494</v>
      </c>
      <c r="D398" s="54" t="s">
        <v>1392</v>
      </c>
      <c r="E398" s="130" t="s">
        <v>1517</v>
      </c>
      <c r="F398" s="54" t="s">
        <v>62</v>
      </c>
      <c r="R398" s="176"/>
      <c r="S398" s="176">
        <v>3.3000000000000001E-12</v>
      </c>
      <c r="T398" s="58" t="s">
        <v>1409</v>
      </c>
      <c r="U398" s="54" t="s">
        <v>20</v>
      </c>
      <c r="W398" s="54" t="s">
        <v>1548</v>
      </c>
    </row>
    <row r="399" spans="1:23" x14ac:dyDescent="0.35">
      <c r="A399" s="54">
        <v>556</v>
      </c>
      <c r="B399" s="99" t="s">
        <v>62</v>
      </c>
      <c r="C399" s="54" t="s">
        <v>1494</v>
      </c>
      <c r="D399" s="54" t="s">
        <v>1403</v>
      </c>
      <c r="E399" s="130" t="s">
        <v>1526</v>
      </c>
      <c r="F399" s="54" t="s">
        <v>62</v>
      </c>
      <c r="R399" s="176"/>
      <c r="S399" s="176">
        <v>3.7800000000000005E-12</v>
      </c>
      <c r="T399" s="58" t="s">
        <v>1409</v>
      </c>
      <c r="U399" s="54" t="s">
        <v>20</v>
      </c>
      <c r="W399" s="54" t="s">
        <v>1548</v>
      </c>
    </row>
    <row r="400" spans="1:23" x14ac:dyDescent="0.35">
      <c r="A400" s="54">
        <v>561</v>
      </c>
      <c r="B400" s="99" t="s">
        <v>62</v>
      </c>
      <c r="C400" s="54" t="s">
        <v>1494</v>
      </c>
      <c r="D400" s="54" t="s">
        <v>1392</v>
      </c>
      <c r="E400" s="130" t="s">
        <v>1531</v>
      </c>
      <c r="F400" s="54" t="s">
        <v>62</v>
      </c>
      <c r="R400" s="176"/>
      <c r="S400" s="176">
        <v>4.3999999999999998E-12</v>
      </c>
      <c r="T400" s="58" t="s">
        <v>1409</v>
      </c>
      <c r="U400" s="54" t="s">
        <v>20</v>
      </c>
      <c r="W400" s="54" t="s">
        <v>1548</v>
      </c>
    </row>
    <row r="401" spans="1:23" x14ac:dyDescent="0.35">
      <c r="A401" s="54">
        <v>544</v>
      </c>
      <c r="B401" s="99" t="s">
        <v>62</v>
      </c>
      <c r="C401" s="54" t="s">
        <v>1494</v>
      </c>
      <c r="D401" s="54" t="s">
        <v>1392</v>
      </c>
      <c r="E401" s="130" t="s">
        <v>1514</v>
      </c>
      <c r="F401" s="54" t="s">
        <v>62</v>
      </c>
      <c r="R401" s="176"/>
      <c r="S401" s="176">
        <v>6.6000000000000001E-12</v>
      </c>
      <c r="T401" s="58" t="s">
        <v>1409</v>
      </c>
      <c r="U401" s="54" t="s">
        <v>20</v>
      </c>
      <c r="W401" s="54" t="s">
        <v>1548</v>
      </c>
    </row>
    <row r="402" spans="1:23" x14ac:dyDescent="0.35">
      <c r="A402" s="54">
        <v>557</v>
      </c>
      <c r="B402" s="99" t="s">
        <v>62</v>
      </c>
      <c r="C402" s="54" t="s">
        <v>1494</v>
      </c>
      <c r="D402" s="54" t="s">
        <v>1403</v>
      </c>
      <c r="E402" s="130" t="s">
        <v>1527</v>
      </c>
      <c r="F402" s="54" t="s">
        <v>62</v>
      </c>
      <c r="R402" s="176"/>
      <c r="S402" s="176">
        <v>7.5600000000000009E-12</v>
      </c>
      <c r="T402" s="58" t="s">
        <v>1409</v>
      </c>
      <c r="U402" s="54" t="s">
        <v>20</v>
      </c>
      <c r="W402" s="54" t="s">
        <v>1548</v>
      </c>
    </row>
    <row r="403" spans="1:23" x14ac:dyDescent="0.35">
      <c r="A403" s="54">
        <v>549</v>
      </c>
      <c r="B403" s="99" t="s">
        <v>62</v>
      </c>
      <c r="C403" s="54" t="s">
        <v>1494</v>
      </c>
      <c r="D403" s="54" t="s">
        <v>1392</v>
      </c>
      <c r="E403" s="130" t="s">
        <v>1519</v>
      </c>
      <c r="F403" s="54" t="s">
        <v>62</v>
      </c>
      <c r="R403" s="176"/>
      <c r="S403" s="176">
        <v>7.6999999999999999E-12</v>
      </c>
      <c r="T403" s="58" t="s">
        <v>1409</v>
      </c>
      <c r="U403" s="54" t="s">
        <v>20</v>
      </c>
      <c r="W403" s="54" t="s">
        <v>1548</v>
      </c>
    </row>
    <row r="404" spans="1:23" x14ac:dyDescent="0.35">
      <c r="A404" s="54">
        <v>540</v>
      </c>
      <c r="B404" s="99" t="s">
        <v>62</v>
      </c>
      <c r="C404" s="54" t="s">
        <v>53</v>
      </c>
      <c r="D404" s="54" t="s">
        <v>53</v>
      </c>
      <c r="E404" s="130" t="s">
        <v>1510</v>
      </c>
      <c r="F404" s="54" t="s">
        <v>62</v>
      </c>
      <c r="R404" s="176"/>
      <c r="S404" s="176">
        <v>9.5033177771091242E-12</v>
      </c>
      <c r="T404" s="58" t="s">
        <v>1409</v>
      </c>
      <c r="U404" s="54" t="s">
        <v>20</v>
      </c>
      <c r="W404" s="54" t="s">
        <v>1548</v>
      </c>
    </row>
    <row r="405" spans="1:23" x14ac:dyDescent="0.35">
      <c r="A405" s="54">
        <v>563</v>
      </c>
      <c r="B405" s="99" t="s">
        <v>62</v>
      </c>
      <c r="C405" s="54" t="s">
        <v>1494</v>
      </c>
      <c r="D405" s="54" t="s">
        <v>1392</v>
      </c>
      <c r="E405" s="130" t="s">
        <v>1533</v>
      </c>
      <c r="F405" s="54" t="s">
        <v>62</v>
      </c>
      <c r="R405" s="176"/>
      <c r="S405" s="176">
        <v>1.166E-11</v>
      </c>
      <c r="T405" s="58" t="s">
        <v>1409</v>
      </c>
      <c r="U405" s="54" t="s">
        <v>20</v>
      </c>
      <c r="W405" s="54" t="s">
        <v>1548</v>
      </c>
    </row>
    <row r="406" spans="1:23" x14ac:dyDescent="0.35">
      <c r="A406" s="54">
        <v>552</v>
      </c>
      <c r="B406" s="99" t="s">
        <v>62</v>
      </c>
      <c r="C406" s="54" t="s">
        <v>1494</v>
      </c>
      <c r="D406" s="54" t="s">
        <v>1399</v>
      </c>
      <c r="E406" s="130" t="s">
        <v>1522</v>
      </c>
      <c r="F406" s="54" t="s">
        <v>62</v>
      </c>
      <c r="R406" s="176"/>
      <c r="S406" s="176">
        <v>1.4700000000000002E-11</v>
      </c>
      <c r="T406" s="58" t="s">
        <v>1409</v>
      </c>
      <c r="U406" s="54" t="s">
        <v>20</v>
      </c>
      <c r="W406" s="54" t="s">
        <v>1548</v>
      </c>
    </row>
    <row r="407" spans="1:23" x14ac:dyDescent="0.35">
      <c r="A407" s="54">
        <v>553</v>
      </c>
      <c r="B407" s="99" t="s">
        <v>62</v>
      </c>
      <c r="C407" s="54" t="s">
        <v>1494</v>
      </c>
      <c r="D407" s="54" t="s">
        <v>406</v>
      </c>
      <c r="E407" s="130" t="s">
        <v>1523</v>
      </c>
      <c r="F407" s="54" t="s">
        <v>62</v>
      </c>
      <c r="R407" s="176"/>
      <c r="S407" s="176">
        <v>2.382499999995E-11</v>
      </c>
      <c r="T407" s="58" t="s">
        <v>1409</v>
      </c>
      <c r="U407" s="54" t="s">
        <v>20</v>
      </c>
      <c r="W407" s="54" t="s">
        <v>1548</v>
      </c>
    </row>
    <row r="408" spans="1:23" x14ac:dyDescent="0.35">
      <c r="A408" s="54">
        <v>569</v>
      </c>
      <c r="B408" s="99" t="s">
        <v>62</v>
      </c>
      <c r="C408" s="54" t="s">
        <v>1494</v>
      </c>
      <c r="D408" s="54" t="s">
        <v>406</v>
      </c>
      <c r="E408" s="130" t="s">
        <v>1539</v>
      </c>
      <c r="F408" s="54" t="s">
        <v>62</v>
      </c>
      <c r="R408" s="176"/>
      <c r="S408" s="176">
        <v>2.382499999995E-11</v>
      </c>
      <c r="T408" s="58" t="s">
        <v>1409</v>
      </c>
      <c r="U408" s="54" t="s">
        <v>20</v>
      </c>
      <c r="W408" s="54" t="s">
        <v>1548</v>
      </c>
    </row>
    <row r="409" spans="1:23" x14ac:dyDescent="0.35">
      <c r="A409" s="54">
        <v>548</v>
      </c>
      <c r="B409" s="99" t="s">
        <v>62</v>
      </c>
      <c r="C409" s="54" t="s">
        <v>1494</v>
      </c>
      <c r="D409" s="54" t="s">
        <v>1392</v>
      </c>
      <c r="E409" s="130" t="s">
        <v>1518</v>
      </c>
      <c r="F409" s="54" t="s">
        <v>62</v>
      </c>
      <c r="R409" s="176"/>
      <c r="S409" s="176">
        <v>5.5000000000000004E-11</v>
      </c>
      <c r="T409" s="58" t="s">
        <v>1409</v>
      </c>
      <c r="U409" s="54" t="s">
        <v>20</v>
      </c>
      <c r="W409" s="54" t="s">
        <v>1548</v>
      </c>
    </row>
    <row r="410" spans="1:23" x14ac:dyDescent="0.35">
      <c r="A410" s="54">
        <v>555</v>
      </c>
      <c r="B410" s="99" t="s">
        <v>62</v>
      </c>
      <c r="C410" s="54" t="s">
        <v>1494</v>
      </c>
      <c r="D410" s="54" t="s">
        <v>1403</v>
      </c>
      <c r="E410" s="130" t="s">
        <v>1525</v>
      </c>
      <c r="F410" s="54" t="s">
        <v>62</v>
      </c>
      <c r="R410" s="176"/>
      <c r="S410" s="176">
        <v>5.8800000000000006E-11</v>
      </c>
      <c r="T410" s="58" t="s">
        <v>1409</v>
      </c>
      <c r="U410" s="54" t="s">
        <v>20</v>
      </c>
      <c r="W410" s="54" t="s">
        <v>1548</v>
      </c>
    </row>
    <row r="411" spans="1:23" x14ac:dyDescent="0.35">
      <c r="A411" s="54">
        <v>565</v>
      </c>
      <c r="B411" s="99" t="s">
        <v>62</v>
      </c>
      <c r="C411" s="54" t="s">
        <v>1494</v>
      </c>
      <c r="D411" s="54" t="s">
        <v>1392</v>
      </c>
      <c r="E411" s="130" t="s">
        <v>1535</v>
      </c>
      <c r="F411" s="54" t="s">
        <v>62</v>
      </c>
      <c r="R411" s="176"/>
      <c r="S411" s="176">
        <v>1.265E-10</v>
      </c>
      <c r="T411" s="58" t="s">
        <v>1409</v>
      </c>
      <c r="U411" s="54" t="s">
        <v>20</v>
      </c>
      <c r="W411" s="54" t="s">
        <v>1548</v>
      </c>
    </row>
    <row r="412" spans="1:23" x14ac:dyDescent="0.35">
      <c r="A412" s="54">
        <v>567</v>
      </c>
      <c r="B412" s="99" t="s">
        <v>62</v>
      </c>
      <c r="C412" s="54" t="s">
        <v>1494</v>
      </c>
      <c r="D412" s="54" t="s">
        <v>1399</v>
      </c>
      <c r="E412" s="130" t="s">
        <v>1537</v>
      </c>
      <c r="F412" s="54" t="s">
        <v>62</v>
      </c>
      <c r="R412" s="176"/>
      <c r="S412" s="176">
        <v>1.4546000000000001E-10</v>
      </c>
      <c r="T412" s="58" t="s">
        <v>1409</v>
      </c>
      <c r="U412" s="54" t="s">
        <v>20</v>
      </c>
      <c r="W412" s="54" t="s">
        <v>1548</v>
      </c>
    </row>
    <row r="413" spans="1:23" x14ac:dyDescent="0.35">
      <c r="A413" s="54">
        <v>546</v>
      </c>
      <c r="B413" s="99" t="s">
        <v>62</v>
      </c>
      <c r="C413" s="54" t="s">
        <v>1494</v>
      </c>
      <c r="D413" s="54" t="s">
        <v>1392</v>
      </c>
      <c r="E413" s="130" t="s">
        <v>1516</v>
      </c>
      <c r="F413" s="54" t="s">
        <v>62</v>
      </c>
      <c r="R413" s="176"/>
      <c r="S413" s="176">
        <v>1.5820000000000001E-10</v>
      </c>
      <c r="T413" s="58" t="s">
        <v>1409</v>
      </c>
      <c r="U413" s="54" t="s">
        <v>20</v>
      </c>
      <c r="W413" s="54" t="s">
        <v>1548</v>
      </c>
    </row>
    <row r="414" spans="1:23" x14ac:dyDescent="0.35">
      <c r="A414" s="54">
        <v>562</v>
      </c>
      <c r="B414" s="99" t="s">
        <v>62</v>
      </c>
      <c r="C414" s="54" t="s">
        <v>1494</v>
      </c>
      <c r="D414" s="54" t="s">
        <v>1392</v>
      </c>
      <c r="E414" s="130" t="s">
        <v>1532</v>
      </c>
      <c r="F414" s="54" t="s">
        <v>62</v>
      </c>
      <c r="R414" s="176"/>
      <c r="S414" s="176">
        <v>1.5820000000000001E-10</v>
      </c>
      <c r="T414" s="58" t="s">
        <v>1409</v>
      </c>
      <c r="U414" s="54" t="s">
        <v>20</v>
      </c>
      <c r="W414" s="54" t="s">
        <v>1548</v>
      </c>
    </row>
    <row r="415" spans="1:23" x14ac:dyDescent="0.35">
      <c r="A415" s="54">
        <v>570</v>
      </c>
      <c r="B415" s="99" t="s">
        <v>62</v>
      </c>
      <c r="C415" s="54" t="s">
        <v>1494</v>
      </c>
      <c r="D415" s="54" t="s">
        <v>1402</v>
      </c>
      <c r="E415" s="130" t="s">
        <v>1540</v>
      </c>
      <c r="F415" s="54" t="s">
        <v>62</v>
      </c>
      <c r="R415" s="176"/>
      <c r="S415" s="176">
        <v>2.2000000000000002E-10</v>
      </c>
      <c r="T415" s="58" t="s">
        <v>1409</v>
      </c>
      <c r="U415" s="54" t="s">
        <v>20</v>
      </c>
      <c r="W415" s="54" t="s">
        <v>1548</v>
      </c>
    </row>
    <row r="416" spans="1:23" x14ac:dyDescent="0.35">
      <c r="A416" s="54">
        <v>558</v>
      </c>
      <c r="B416" s="99" t="s">
        <v>62</v>
      </c>
      <c r="C416" s="54" t="s">
        <v>1494</v>
      </c>
      <c r="D416" s="54" t="s">
        <v>1403</v>
      </c>
      <c r="E416" s="130" t="s">
        <v>1528</v>
      </c>
      <c r="F416" s="54" t="s">
        <v>62</v>
      </c>
      <c r="R416" s="176"/>
      <c r="S416" s="176">
        <v>2.6600000000000001E-10</v>
      </c>
      <c r="T416" s="58" t="s">
        <v>1409</v>
      </c>
      <c r="U416" s="54" t="s">
        <v>20</v>
      </c>
      <c r="W416" s="54" t="s">
        <v>1548</v>
      </c>
    </row>
    <row r="417" spans="1:23" x14ac:dyDescent="0.35">
      <c r="A417" s="54">
        <v>559</v>
      </c>
      <c r="B417" s="99" t="s">
        <v>62</v>
      </c>
      <c r="C417" s="54" t="s">
        <v>1494</v>
      </c>
      <c r="D417" s="54" t="s">
        <v>1403</v>
      </c>
      <c r="E417" s="130" t="s">
        <v>1529</v>
      </c>
      <c r="F417" s="54" t="s">
        <v>62</v>
      </c>
      <c r="R417" s="176"/>
      <c r="S417" s="176">
        <v>3.0240000000000001E-10</v>
      </c>
      <c r="T417" s="58" t="s">
        <v>1409</v>
      </c>
      <c r="U417" s="54" t="s">
        <v>20</v>
      </c>
      <c r="W417" s="54" t="s">
        <v>1548</v>
      </c>
    </row>
    <row r="418" spans="1:23" x14ac:dyDescent="0.35">
      <c r="A418" s="54">
        <v>539</v>
      </c>
      <c r="B418" s="99" t="s">
        <v>62</v>
      </c>
      <c r="C418" s="54" t="s">
        <v>53</v>
      </c>
      <c r="D418" s="54" t="s">
        <v>53</v>
      </c>
      <c r="E418" s="130" t="s">
        <v>1509</v>
      </c>
      <c r="F418" s="54" t="s">
        <v>62</v>
      </c>
      <c r="R418" s="176"/>
      <c r="S418" s="176">
        <v>4.8579999999999991E-10</v>
      </c>
      <c r="T418" s="58" t="s">
        <v>1409</v>
      </c>
      <c r="U418" s="54" t="s">
        <v>20</v>
      </c>
      <c r="W418" s="54" t="s">
        <v>1548</v>
      </c>
    </row>
    <row r="419" spans="1:23" x14ac:dyDescent="0.35">
      <c r="A419" s="54">
        <v>572</v>
      </c>
      <c r="B419" s="99" t="s">
        <v>62</v>
      </c>
      <c r="C419" s="54" t="s">
        <v>1494</v>
      </c>
      <c r="D419" s="54" t="s">
        <v>1403</v>
      </c>
      <c r="E419" s="130" t="s">
        <v>1542</v>
      </c>
      <c r="F419" s="54" t="s">
        <v>1466</v>
      </c>
      <c r="R419" s="176"/>
      <c r="S419" s="176">
        <v>5.5860000000000001E-10</v>
      </c>
      <c r="T419" s="58" t="s">
        <v>1409</v>
      </c>
      <c r="U419" s="54" t="s">
        <v>20</v>
      </c>
      <c r="W419" s="54" t="s">
        <v>1548</v>
      </c>
    </row>
    <row r="420" spans="1:23" x14ac:dyDescent="0.35">
      <c r="A420" s="54">
        <v>571</v>
      </c>
      <c r="B420" s="99" t="s">
        <v>62</v>
      </c>
      <c r="C420" s="54" t="s">
        <v>1494</v>
      </c>
      <c r="D420" s="54" t="s">
        <v>1403</v>
      </c>
      <c r="E420" s="130" t="s">
        <v>1541</v>
      </c>
      <c r="F420" s="54" t="s">
        <v>1466</v>
      </c>
      <c r="R420" s="176"/>
      <c r="S420" s="176">
        <v>5.8100000000000006E-10</v>
      </c>
      <c r="T420" s="58" t="s">
        <v>1409</v>
      </c>
      <c r="U420" s="54" t="s">
        <v>20</v>
      </c>
      <c r="W420" s="54" t="s">
        <v>1548</v>
      </c>
    </row>
    <row r="421" spans="1:23" x14ac:dyDescent="0.35">
      <c r="A421" s="54">
        <v>574</v>
      </c>
      <c r="B421" s="99" t="s">
        <v>62</v>
      </c>
      <c r="C421" s="54" t="s">
        <v>1494</v>
      </c>
      <c r="D421" s="54" t="s">
        <v>1403</v>
      </c>
      <c r="E421" s="130" t="s">
        <v>1544</v>
      </c>
      <c r="F421" s="54" t="s">
        <v>1466</v>
      </c>
      <c r="R421" s="176"/>
      <c r="S421" s="176">
        <v>1.1329999999999999E-9</v>
      </c>
      <c r="T421" s="58" t="s">
        <v>1409</v>
      </c>
      <c r="U421" s="54" t="s">
        <v>20</v>
      </c>
      <c r="W421" s="54" t="s">
        <v>1548</v>
      </c>
    </row>
    <row r="422" spans="1:23" x14ac:dyDescent="0.35">
      <c r="A422" s="54">
        <v>550</v>
      </c>
      <c r="B422" s="99" t="s">
        <v>62</v>
      </c>
      <c r="C422" s="54" t="s">
        <v>1494</v>
      </c>
      <c r="D422" s="54" t="s">
        <v>1392</v>
      </c>
      <c r="E422" s="130" t="s">
        <v>1520</v>
      </c>
      <c r="F422" s="54" t="s">
        <v>62</v>
      </c>
      <c r="R422" s="176"/>
      <c r="S422" s="176">
        <v>2.3100000000000001E-9</v>
      </c>
      <c r="T422" s="58" t="s">
        <v>1409</v>
      </c>
      <c r="U422" s="54" t="s">
        <v>20</v>
      </c>
      <c r="W422" s="54" t="s">
        <v>1548</v>
      </c>
    </row>
    <row r="423" spans="1:23" x14ac:dyDescent="0.35">
      <c r="A423" s="54">
        <v>566</v>
      </c>
      <c r="B423" s="99" t="s">
        <v>62</v>
      </c>
      <c r="C423" s="54" t="s">
        <v>1494</v>
      </c>
      <c r="D423" s="54" t="s">
        <v>1392</v>
      </c>
      <c r="E423" s="130" t="s">
        <v>1536</v>
      </c>
      <c r="F423" s="54" t="s">
        <v>62</v>
      </c>
      <c r="R423" s="176"/>
      <c r="S423" s="176">
        <v>2.3100000000000001E-9</v>
      </c>
      <c r="T423" s="58" t="s">
        <v>1409</v>
      </c>
      <c r="U423" s="54" t="s">
        <v>20</v>
      </c>
      <c r="W423" s="54" t="s">
        <v>1548</v>
      </c>
    </row>
    <row r="424" spans="1:23" x14ac:dyDescent="0.35">
      <c r="A424" s="54">
        <v>99</v>
      </c>
      <c r="B424" s="99" t="s">
        <v>62</v>
      </c>
      <c r="C424" s="54" t="s">
        <v>662</v>
      </c>
      <c r="D424" s="54" t="s">
        <v>848</v>
      </c>
      <c r="E424" s="130" t="s">
        <v>975</v>
      </c>
      <c r="F424" s="54" t="s">
        <v>1434</v>
      </c>
      <c r="G424" s="99"/>
      <c r="I424" s="54">
        <v>3.3884415613920239E-3</v>
      </c>
      <c r="J424" s="99">
        <v>204.17379446695315</v>
      </c>
      <c r="K424" s="58">
        <f t="shared" ref="K424:K433" si="21">J424/POWER(10,6)</f>
        <v>2.0417379446695315E-4</v>
      </c>
      <c r="R424" s="176"/>
      <c r="S424" s="176">
        <f t="shared" ref="S424:S455" si="22">I424/POWER(10,6)</f>
        <v>3.3884415613920241E-9</v>
      </c>
      <c r="T424" s="54" t="s">
        <v>849</v>
      </c>
      <c r="U424" s="54" t="s">
        <v>62</v>
      </c>
      <c r="V424" s="54" t="s">
        <v>62</v>
      </c>
      <c r="W424" s="54" t="s">
        <v>1468</v>
      </c>
    </row>
    <row r="425" spans="1:23" x14ac:dyDescent="0.35">
      <c r="A425" s="54">
        <v>100</v>
      </c>
      <c r="B425" s="99" t="s">
        <v>62</v>
      </c>
      <c r="C425" s="54" t="s">
        <v>662</v>
      </c>
      <c r="D425" s="54" t="s">
        <v>848</v>
      </c>
      <c r="E425" s="130" t="s">
        <v>1000</v>
      </c>
      <c r="F425" s="54" t="s">
        <v>1434</v>
      </c>
      <c r="G425" s="99"/>
      <c r="I425" s="54">
        <v>3.5727283815192878E-3</v>
      </c>
      <c r="J425" s="99">
        <v>416.86938347033572</v>
      </c>
      <c r="K425" s="58">
        <f t="shared" si="21"/>
        <v>4.1686938347033572E-4</v>
      </c>
      <c r="R425" s="176"/>
      <c r="S425" s="176">
        <f t="shared" si="22"/>
        <v>3.5727283815192877E-9</v>
      </c>
      <c r="T425" s="54" t="s">
        <v>849</v>
      </c>
      <c r="U425" s="54" t="s">
        <v>62</v>
      </c>
      <c r="V425" s="54" t="s">
        <v>62</v>
      </c>
      <c r="W425" s="54" t="s">
        <v>1468</v>
      </c>
    </row>
    <row r="426" spans="1:23" x14ac:dyDescent="0.35">
      <c r="A426" s="54">
        <v>101</v>
      </c>
      <c r="B426" s="99" t="s">
        <v>62</v>
      </c>
      <c r="C426" s="54" t="s">
        <v>662</v>
      </c>
      <c r="D426" s="54" t="s">
        <v>848</v>
      </c>
      <c r="E426" s="130" t="s">
        <v>1003</v>
      </c>
      <c r="F426" s="54" t="s">
        <v>1434</v>
      </c>
      <c r="G426" s="99"/>
      <c r="I426" s="54">
        <v>3.630780547701011E-3</v>
      </c>
      <c r="J426" s="99">
        <v>446.68359215096331</v>
      </c>
      <c r="K426" s="58">
        <f t="shared" si="21"/>
        <v>4.4668359215096332E-4</v>
      </c>
      <c r="R426" s="176"/>
      <c r="S426" s="176">
        <f t="shared" si="22"/>
        <v>3.630780547701011E-9</v>
      </c>
      <c r="T426" s="54" t="s">
        <v>849</v>
      </c>
      <c r="U426" s="54" t="s">
        <v>62</v>
      </c>
      <c r="V426" s="54" t="s">
        <v>62</v>
      </c>
      <c r="W426" s="54" t="s">
        <v>1468</v>
      </c>
    </row>
    <row r="427" spans="1:23" x14ac:dyDescent="0.35">
      <c r="A427" s="54">
        <v>102</v>
      </c>
      <c r="B427" s="99" t="s">
        <v>62</v>
      </c>
      <c r="C427" s="54" t="s">
        <v>662</v>
      </c>
      <c r="D427" s="54" t="s">
        <v>848</v>
      </c>
      <c r="E427" s="130" t="s">
        <v>1562</v>
      </c>
      <c r="F427" s="54" t="s">
        <v>1434</v>
      </c>
      <c r="G427" s="99"/>
      <c r="I427" s="54">
        <v>3.6391503612720681E-3</v>
      </c>
      <c r="J427" s="99">
        <v>512.86138399136519</v>
      </c>
      <c r="K427" s="58">
        <f t="shared" si="21"/>
        <v>5.1286138399136516E-4</v>
      </c>
      <c r="R427" s="176"/>
      <c r="S427" s="176">
        <f t="shared" si="22"/>
        <v>3.6391503612720683E-9</v>
      </c>
      <c r="T427" s="54" t="s">
        <v>849</v>
      </c>
      <c r="U427" s="54" t="s">
        <v>62</v>
      </c>
      <c r="V427" s="54" t="s">
        <v>62</v>
      </c>
      <c r="W427" s="54" t="s">
        <v>1468</v>
      </c>
    </row>
    <row r="428" spans="1:23" x14ac:dyDescent="0.35">
      <c r="A428" s="54">
        <v>103</v>
      </c>
      <c r="B428" s="99" t="s">
        <v>62</v>
      </c>
      <c r="C428" s="54" t="s">
        <v>662</v>
      </c>
      <c r="D428" s="54" t="s">
        <v>848</v>
      </c>
      <c r="E428" s="130" t="s">
        <v>1563</v>
      </c>
      <c r="F428" s="54" t="s">
        <v>1434</v>
      </c>
      <c r="G428" s="99"/>
      <c r="I428" s="54">
        <v>3.8282474331682212E-3</v>
      </c>
      <c r="J428" s="99">
        <v>891.25093813374656</v>
      </c>
      <c r="K428" s="58">
        <f t="shared" si="21"/>
        <v>8.9125093813374658E-4</v>
      </c>
      <c r="R428" s="176"/>
      <c r="S428" s="176">
        <f t="shared" si="22"/>
        <v>3.8282474331682211E-9</v>
      </c>
      <c r="T428" s="54" t="s">
        <v>849</v>
      </c>
      <c r="U428" s="54" t="s">
        <v>62</v>
      </c>
      <c r="V428" s="54" t="s">
        <v>62</v>
      </c>
      <c r="W428" s="54" t="s">
        <v>1468</v>
      </c>
    </row>
    <row r="429" spans="1:23" x14ac:dyDescent="0.35">
      <c r="A429" s="54">
        <v>104</v>
      </c>
      <c r="B429" s="99" t="s">
        <v>62</v>
      </c>
      <c r="C429" s="54" t="s">
        <v>662</v>
      </c>
      <c r="D429" s="54" t="s">
        <v>848</v>
      </c>
      <c r="E429" s="130" t="s">
        <v>974</v>
      </c>
      <c r="F429" s="54" t="s">
        <v>1434</v>
      </c>
      <c r="G429" s="99"/>
      <c r="I429" s="54">
        <v>3.8994198667654332E-3</v>
      </c>
      <c r="J429" s="99">
        <v>1122.0184543019636</v>
      </c>
      <c r="K429" s="58">
        <f t="shared" si="21"/>
        <v>1.1220184543019637E-3</v>
      </c>
      <c r="R429" s="176"/>
      <c r="S429" s="176">
        <f t="shared" si="22"/>
        <v>3.8994198667654328E-9</v>
      </c>
      <c r="T429" s="54" t="s">
        <v>849</v>
      </c>
      <c r="U429" s="54" t="s">
        <v>62</v>
      </c>
      <c r="V429" s="54" t="s">
        <v>62</v>
      </c>
      <c r="W429" s="54" t="s">
        <v>1468</v>
      </c>
    </row>
    <row r="430" spans="1:23" x14ac:dyDescent="0.35">
      <c r="A430" s="54">
        <v>105</v>
      </c>
      <c r="B430" s="99" t="s">
        <v>62</v>
      </c>
      <c r="C430" s="54" t="s">
        <v>662</v>
      </c>
      <c r="D430" s="54" t="s">
        <v>848</v>
      </c>
      <c r="E430" s="130" t="s">
        <v>972</v>
      </c>
      <c r="F430" s="54" t="s">
        <v>1434</v>
      </c>
      <c r="G430" s="99"/>
      <c r="I430" s="54">
        <v>3.9084089579240183E-3</v>
      </c>
      <c r="J430" s="99">
        <v>1122.0184543019636</v>
      </c>
      <c r="K430" s="58">
        <f t="shared" si="21"/>
        <v>1.1220184543019637E-3</v>
      </c>
      <c r="R430" s="176"/>
      <c r="S430" s="176">
        <f t="shared" si="22"/>
        <v>3.9084089579240179E-9</v>
      </c>
      <c r="T430" s="54" t="s">
        <v>849</v>
      </c>
      <c r="U430" s="54" t="s">
        <v>62</v>
      </c>
      <c r="V430" s="54" t="s">
        <v>62</v>
      </c>
      <c r="W430" s="54" t="s">
        <v>1468</v>
      </c>
    </row>
    <row r="431" spans="1:23" x14ac:dyDescent="0.35">
      <c r="A431" s="54">
        <v>106</v>
      </c>
      <c r="B431" s="99" t="s">
        <v>62</v>
      </c>
      <c r="C431" s="54" t="s">
        <v>662</v>
      </c>
      <c r="D431" s="54" t="s">
        <v>848</v>
      </c>
      <c r="E431" s="130" t="s">
        <v>993</v>
      </c>
      <c r="F431" s="54" t="s">
        <v>1434</v>
      </c>
      <c r="G431" s="99"/>
      <c r="I431" s="54">
        <v>3.9174187710778281E-3</v>
      </c>
      <c r="J431" s="99">
        <v>9332.5430079699217</v>
      </c>
      <c r="K431" s="58">
        <f t="shared" si="21"/>
        <v>9.332543007969922E-3</v>
      </c>
      <c r="R431" s="176"/>
      <c r="S431" s="176">
        <f t="shared" si="22"/>
        <v>3.9174187710778283E-9</v>
      </c>
      <c r="T431" s="54" t="s">
        <v>849</v>
      </c>
      <c r="U431" s="54" t="s">
        <v>62</v>
      </c>
      <c r="V431" s="54" t="s">
        <v>62</v>
      </c>
      <c r="W431" s="54" t="s">
        <v>1468</v>
      </c>
    </row>
    <row r="432" spans="1:23" x14ac:dyDescent="0.35">
      <c r="A432" s="54">
        <v>107</v>
      </c>
      <c r="B432" s="99" t="s">
        <v>62</v>
      </c>
      <c r="C432" s="54" t="s">
        <v>662</v>
      </c>
      <c r="D432" s="54" t="s">
        <v>848</v>
      </c>
      <c r="E432" s="130" t="s">
        <v>990</v>
      </c>
      <c r="F432" s="54" t="s">
        <v>1434</v>
      </c>
      <c r="G432" s="99"/>
      <c r="I432" s="54">
        <v>3.9902490236214195E-3</v>
      </c>
      <c r="J432" s="99">
        <v>1513.5612484362093</v>
      </c>
      <c r="K432" s="58">
        <f t="shared" si="21"/>
        <v>1.5135612484362094E-3</v>
      </c>
      <c r="R432" s="176"/>
      <c r="S432" s="176">
        <f t="shared" si="22"/>
        <v>3.9902490236214192E-9</v>
      </c>
      <c r="T432" s="54" t="s">
        <v>849</v>
      </c>
      <c r="U432" s="54" t="s">
        <v>62</v>
      </c>
      <c r="V432" s="54" t="s">
        <v>62</v>
      </c>
      <c r="W432" s="54" t="s">
        <v>1468</v>
      </c>
    </row>
    <row r="433" spans="1:23" x14ac:dyDescent="0.35">
      <c r="A433" s="54">
        <v>108</v>
      </c>
      <c r="B433" s="99" t="s">
        <v>62</v>
      </c>
      <c r="C433" s="54" t="s">
        <v>662</v>
      </c>
      <c r="D433" s="54" t="s">
        <v>848</v>
      </c>
      <c r="E433" s="130" t="s">
        <v>998</v>
      </c>
      <c r="F433" s="54" t="s">
        <v>1434</v>
      </c>
      <c r="G433" s="99"/>
      <c r="I433" s="54">
        <v>4.0738027780411303E-3</v>
      </c>
      <c r="J433" s="99">
        <v>1995.2623149688804</v>
      </c>
      <c r="K433" s="58">
        <f t="shared" si="21"/>
        <v>1.9952623149688807E-3</v>
      </c>
      <c r="R433" s="176"/>
      <c r="S433" s="176">
        <f t="shared" si="22"/>
        <v>4.0738027780411305E-9</v>
      </c>
      <c r="T433" s="54" t="s">
        <v>849</v>
      </c>
      <c r="U433" s="54" t="s">
        <v>62</v>
      </c>
      <c r="V433" s="54" t="s">
        <v>62</v>
      </c>
      <c r="W433" s="54" t="s">
        <v>1468</v>
      </c>
    </row>
    <row r="434" spans="1:23" x14ac:dyDescent="0.35">
      <c r="A434" s="54">
        <v>109</v>
      </c>
      <c r="B434" s="99" t="s">
        <v>62</v>
      </c>
      <c r="C434" s="54" t="s">
        <v>662</v>
      </c>
      <c r="D434" s="54" t="s">
        <v>848</v>
      </c>
      <c r="E434" s="130" t="s">
        <v>1001</v>
      </c>
      <c r="F434" s="54" t="s">
        <v>1434</v>
      </c>
      <c r="G434" s="99"/>
      <c r="I434" s="54">
        <v>4.0831938633269158E-3</v>
      </c>
      <c r="J434" s="99" t="s">
        <v>62</v>
      </c>
      <c r="R434" s="176"/>
      <c r="S434" s="176">
        <f t="shared" si="22"/>
        <v>4.0831938633269159E-9</v>
      </c>
      <c r="T434" s="54" t="s">
        <v>849</v>
      </c>
      <c r="U434" s="54" t="s">
        <v>62</v>
      </c>
      <c r="V434" s="54" t="s">
        <v>62</v>
      </c>
      <c r="W434" s="54" t="s">
        <v>1468</v>
      </c>
    </row>
    <row r="435" spans="1:23" x14ac:dyDescent="0.35">
      <c r="A435" s="54">
        <v>110</v>
      </c>
      <c r="B435" s="99" t="s">
        <v>62</v>
      </c>
      <c r="C435" s="54" t="s">
        <v>662</v>
      </c>
      <c r="D435" s="54" t="s">
        <v>848</v>
      </c>
      <c r="E435" s="130" t="s">
        <v>959</v>
      </c>
      <c r="F435" s="54" t="s">
        <v>1434</v>
      </c>
      <c r="G435" s="99"/>
      <c r="I435" s="54">
        <v>4.1495404263436255E-3</v>
      </c>
      <c r="J435" s="99">
        <v>1949.8445997580463</v>
      </c>
      <c r="K435" s="58">
        <f t="shared" ref="K435:K466" si="23">J435/POWER(10,6)</f>
        <v>1.9498445997580462E-3</v>
      </c>
      <c r="R435" s="176"/>
      <c r="S435" s="176">
        <f t="shared" si="22"/>
        <v>4.1495404263436253E-9</v>
      </c>
      <c r="T435" s="54" t="s">
        <v>849</v>
      </c>
      <c r="U435" s="54" t="s">
        <v>62</v>
      </c>
      <c r="V435" s="54" t="s">
        <v>62</v>
      </c>
      <c r="W435" s="54" t="s">
        <v>1468</v>
      </c>
    </row>
    <row r="436" spans="1:23" x14ac:dyDescent="0.35">
      <c r="A436" s="54">
        <v>111</v>
      </c>
      <c r="B436" s="99" t="s">
        <v>62</v>
      </c>
      <c r="C436" s="54" t="s">
        <v>662</v>
      </c>
      <c r="D436" s="54" t="s">
        <v>848</v>
      </c>
      <c r="E436" s="130" t="s">
        <v>969</v>
      </c>
      <c r="F436" s="54" t="s">
        <v>1434</v>
      </c>
      <c r="G436" s="99"/>
      <c r="I436" s="54">
        <v>4.1783036664662151E-3</v>
      </c>
      <c r="J436" s="99">
        <v>2951.2092266663899</v>
      </c>
      <c r="K436" s="58">
        <f t="shared" si="23"/>
        <v>2.9512092266663899E-3</v>
      </c>
      <c r="R436" s="176"/>
      <c r="S436" s="176">
        <f t="shared" si="22"/>
        <v>4.1783036664662149E-9</v>
      </c>
      <c r="T436" s="54" t="s">
        <v>849</v>
      </c>
      <c r="U436" s="54" t="s">
        <v>62</v>
      </c>
      <c r="V436" s="54" t="s">
        <v>62</v>
      </c>
      <c r="W436" s="54" t="s">
        <v>1468</v>
      </c>
    </row>
    <row r="437" spans="1:23" x14ac:dyDescent="0.35">
      <c r="A437" s="54">
        <v>112</v>
      </c>
      <c r="B437" s="99" t="s">
        <v>62</v>
      </c>
      <c r="C437" s="54" t="s">
        <v>662</v>
      </c>
      <c r="D437" s="54" t="s">
        <v>848</v>
      </c>
      <c r="E437" s="130" t="s">
        <v>978</v>
      </c>
      <c r="F437" s="54" t="s">
        <v>1434</v>
      </c>
      <c r="G437" s="99"/>
      <c r="I437" s="54">
        <v>4.2854852039743959E-3</v>
      </c>
      <c r="J437" s="99">
        <v>3388.4415613920255</v>
      </c>
      <c r="K437" s="58">
        <f t="shared" si="23"/>
        <v>3.3884415613920256E-3</v>
      </c>
      <c r="R437" s="176"/>
      <c r="S437" s="176">
        <f t="shared" si="22"/>
        <v>4.285485203974396E-9</v>
      </c>
      <c r="T437" s="54" t="s">
        <v>849</v>
      </c>
      <c r="U437" s="54" t="s">
        <v>62</v>
      </c>
      <c r="V437" s="54" t="s">
        <v>62</v>
      </c>
      <c r="W437" s="54" t="s">
        <v>1468</v>
      </c>
    </row>
    <row r="438" spans="1:23" x14ac:dyDescent="0.35">
      <c r="A438" s="54">
        <v>113</v>
      </c>
      <c r="B438" s="99" t="s">
        <v>62</v>
      </c>
      <c r="C438" s="54" t="s">
        <v>662</v>
      </c>
      <c r="D438" s="54" t="s">
        <v>848</v>
      </c>
      <c r="E438" s="130" t="s">
        <v>999</v>
      </c>
      <c r="F438" s="54" t="s">
        <v>1434</v>
      </c>
      <c r="G438" s="99"/>
      <c r="I438" s="54">
        <v>4.3954161543782403E-3</v>
      </c>
      <c r="J438" s="99">
        <v>5623.4132519034993</v>
      </c>
      <c r="K438" s="58">
        <f t="shared" si="23"/>
        <v>5.6234132519034996E-3</v>
      </c>
      <c r="R438" s="176"/>
      <c r="S438" s="176">
        <f t="shared" si="22"/>
        <v>4.3954161543782406E-9</v>
      </c>
      <c r="T438" s="54" t="s">
        <v>849</v>
      </c>
      <c r="U438" s="54" t="s">
        <v>62</v>
      </c>
      <c r="V438" s="54" t="s">
        <v>62</v>
      </c>
      <c r="W438" s="54" t="s">
        <v>1468</v>
      </c>
    </row>
    <row r="439" spans="1:23" x14ac:dyDescent="0.35">
      <c r="A439" s="54">
        <v>114</v>
      </c>
      <c r="B439" s="99" t="s">
        <v>62</v>
      </c>
      <c r="C439" s="54" t="s">
        <v>662</v>
      </c>
      <c r="D439" s="54" t="s">
        <v>848</v>
      </c>
      <c r="E439" s="130" t="s">
        <v>1005</v>
      </c>
      <c r="F439" s="54" t="s">
        <v>1434</v>
      </c>
      <c r="G439" s="99"/>
      <c r="I439" s="54">
        <v>4.3954161543782403E-3</v>
      </c>
      <c r="J439" s="99">
        <v>7413.1024130091773</v>
      </c>
      <c r="K439" s="58">
        <f t="shared" si="23"/>
        <v>7.4131024130091776E-3</v>
      </c>
      <c r="R439" s="176"/>
      <c r="S439" s="176">
        <f t="shared" si="22"/>
        <v>4.3954161543782406E-9</v>
      </c>
      <c r="T439" s="54" t="s">
        <v>849</v>
      </c>
      <c r="U439" s="54" t="s">
        <v>62</v>
      </c>
      <c r="V439" s="54" t="s">
        <v>62</v>
      </c>
      <c r="W439" s="54" t="s">
        <v>1468</v>
      </c>
    </row>
    <row r="440" spans="1:23" x14ac:dyDescent="0.35">
      <c r="A440" s="54">
        <v>115</v>
      </c>
      <c r="B440" s="99" t="s">
        <v>62</v>
      </c>
      <c r="C440" s="54" t="s">
        <v>662</v>
      </c>
      <c r="D440" s="54" t="s">
        <v>848</v>
      </c>
      <c r="E440" s="130" t="s">
        <v>979</v>
      </c>
      <c r="F440" s="54" t="s">
        <v>1434</v>
      </c>
      <c r="G440" s="99"/>
      <c r="I440" s="54">
        <v>4.4360864393143207E-3</v>
      </c>
      <c r="J440" s="99">
        <v>5495.4087385762541</v>
      </c>
      <c r="K440" s="58">
        <f t="shared" si="23"/>
        <v>5.4954087385762542E-3</v>
      </c>
      <c r="R440" s="176"/>
      <c r="S440" s="176">
        <f t="shared" si="22"/>
        <v>4.4360864393143206E-9</v>
      </c>
      <c r="T440" s="54" t="s">
        <v>849</v>
      </c>
      <c r="U440" s="54" t="s">
        <v>62</v>
      </c>
      <c r="V440" s="54" t="s">
        <v>62</v>
      </c>
      <c r="W440" s="54" t="s">
        <v>1468</v>
      </c>
    </row>
    <row r="441" spans="1:23" x14ac:dyDescent="0.35">
      <c r="A441" s="54">
        <v>116</v>
      </c>
      <c r="B441" s="99" t="s">
        <v>62</v>
      </c>
      <c r="C441" s="54" t="s">
        <v>662</v>
      </c>
      <c r="D441" s="54" t="s">
        <v>848</v>
      </c>
      <c r="E441" s="130" t="s">
        <v>973</v>
      </c>
      <c r="F441" s="54" t="s">
        <v>1434</v>
      </c>
      <c r="G441" s="99"/>
      <c r="I441" s="54">
        <v>4.4565624839750309E-3</v>
      </c>
      <c r="J441" s="99">
        <v>6918.3097091893687</v>
      </c>
      <c r="K441" s="58">
        <f t="shared" si="23"/>
        <v>6.9183097091893688E-3</v>
      </c>
      <c r="R441" s="176"/>
      <c r="S441" s="176">
        <f t="shared" si="22"/>
        <v>4.456562483975031E-9</v>
      </c>
      <c r="T441" s="54" t="s">
        <v>849</v>
      </c>
      <c r="U441" s="54" t="s">
        <v>62</v>
      </c>
      <c r="V441" s="54" t="s">
        <v>62</v>
      </c>
      <c r="W441" s="54" t="s">
        <v>1468</v>
      </c>
    </row>
    <row r="442" spans="1:23" x14ac:dyDescent="0.35">
      <c r="A442" s="54">
        <v>117</v>
      </c>
      <c r="B442" s="99" t="s">
        <v>62</v>
      </c>
      <c r="C442" s="54" t="s">
        <v>662</v>
      </c>
      <c r="D442" s="54" t="s">
        <v>848</v>
      </c>
      <c r="E442" s="130" t="s">
        <v>970</v>
      </c>
      <c r="F442" s="54" t="s">
        <v>1434</v>
      </c>
      <c r="G442" s="99"/>
      <c r="I442" s="54">
        <v>4.4668359215096279E-3</v>
      </c>
      <c r="J442" s="99">
        <v>6456.5422903465615</v>
      </c>
      <c r="K442" s="58">
        <f t="shared" si="23"/>
        <v>6.456542290346561E-3</v>
      </c>
      <c r="R442" s="176"/>
      <c r="S442" s="176">
        <f t="shared" si="22"/>
        <v>4.4668359215096277E-9</v>
      </c>
      <c r="T442" s="54" t="s">
        <v>849</v>
      </c>
      <c r="U442" s="54" t="s">
        <v>62</v>
      </c>
      <c r="V442" s="54" t="s">
        <v>62</v>
      </c>
      <c r="W442" s="54" t="s">
        <v>1468</v>
      </c>
    </row>
    <row r="443" spans="1:23" x14ac:dyDescent="0.35">
      <c r="A443" s="54">
        <v>118</v>
      </c>
      <c r="B443" s="99" t="s">
        <v>62</v>
      </c>
      <c r="C443" s="54" t="s">
        <v>662</v>
      </c>
      <c r="D443" s="54" t="s">
        <v>848</v>
      </c>
      <c r="E443" s="130" t="s">
        <v>986</v>
      </c>
      <c r="F443" s="54" t="s">
        <v>1434</v>
      </c>
      <c r="G443" s="99"/>
      <c r="I443" s="54">
        <v>4.539416166502031E-3</v>
      </c>
      <c r="J443" s="99">
        <v>6918.3097091893687</v>
      </c>
      <c r="K443" s="58">
        <f t="shared" si="23"/>
        <v>6.9183097091893688E-3</v>
      </c>
      <c r="R443" s="176"/>
      <c r="S443" s="176">
        <f t="shared" si="22"/>
        <v>4.5394161665020312E-9</v>
      </c>
      <c r="T443" s="54" t="s">
        <v>849</v>
      </c>
      <c r="U443" s="54" t="s">
        <v>62</v>
      </c>
      <c r="V443" s="54" t="s">
        <v>62</v>
      </c>
      <c r="W443" s="54" t="s">
        <v>1468</v>
      </c>
    </row>
    <row r="444" spans="1:23" x14ac:dyDescent="0.35">
      <c r="A444" s="54">
        <v>119</v>
      </c>
      <c r="B444" s="99" t="s">
        <v>62</v>
      </c>
      <c r="C444" s="54" t="s">
        <v>662</v>
      </c>
      <c r="D444" s="54" t="s">
        <v>847</v>
      </c>
      <c r="E444" s="130" t="s">
        <v>948</v>
      </c>
      <c r="F444" s="54" t="s">
        <v>1435</v>
      </c>
      <c r="G444" s="99"/>
      <c r="I444" s="54">
        <v>4.5603691595129591E-3</v>
      </c>
      <c r="J444" s="99">
        <v>2951.2092266663899</v>
      </c>
      <c r="K444" s="58">
        <f t="shared" si="23"/>
        <v>2.9512092266663899E-3</v>
      </c>
      <c r="R444" s="176"/>
      <c r="S444" s="176">
        <f t="shared" si="22"/>
        <v>4.5603691595129594E-9</v>
      </c>
      <c r="T444" s="54" t="s">
        <v>849</v>
      </c>
      <c r="U444" s="54" t="s">
        <v>62</v>
      </c>
      <c r="V444" s="54" t="s">
        <v>62</v>
      </c>
      <c r="W444" s="54" t="s">
        <v>1468</v>
      </c>
    </row>
    <row r="445" spans="1:23" x14ac:dyDescent="0.35">
      <c r="A445" s="54">
        <v>120</v>
      </c>
      <c r="B445" s="99" t="s">
        <v>62</v>
      </c>
      <c r="C445" s="54" t="s">
        <v>662</v>
      </c>
      <c r="D445" s="54" t="s">
        <v>848</v>
      </c>
      <c r="E445" s="130" t="s">
        <v>1013</v>
      </c>
      <c r="F445" s="54" t="s">
        <v>1434</v>
      </c>
      <c r="G445" s="99"/>
      <c r="I445" s="54">
        <v>4.5708818961487504E-3</v>
      </c>
      <c r="J445" s="99">
        <v>10000</v>
      </c>
      <c r="K445" s="58">
        <f t="shared" si="23"/>
        <v>0.01</v>
      </c>
      <c r="R445" s="176"/>
      <c r="S445" s="176">
        <f t="shared" si="22"/>
        <v>4.5708818961487501E-9</v>
      </c>
      <c r="T445" s="54" t="s">
        <v>849</v>
      </c>
      <c r="U445" s="54" t="s">
        <v>62</v>
      </c>
      <c r="V445" s="54" t="s">
        <v>62</v>
      </c>
      <c r="W445" s="54" t="s">
        <v>1468</v>
      </c>
    </row>
    <row r="446" spans="1:23" x14ac:dyDescent="0.35">
      <c r="A446" s="54">
        <v>121</v>
      </c>
      <c r="B446" s="99" t="s">
        <v>62</v>
      </c>
      <c r="C446" s="54" t="s">
        <v>662</v>
      </c>
      <c r="D446" s="54" t="s">
        <v>848</v>
      </c>
      <c r="E446" s="130" t="s">
        <v>992</v>
      </c>
      <c r="F446" s="54" t="s">
        <v>1434</v>
      </c>
      <c r="G446" s="99"/>
      <c r="I446" s="54">
        <v>4.7097732639695264E-3</v>
      </c>
      <c r="J446" s="99">
        <v>12022.644346174151</v>
      </c>
      <c r="K446" s="58">
        <f t="shared" si="23"/>
        <v>1.2022644346174151E-2</v>
      </c>
      <c r="R446" s="176"/>
      <c r="S446" s="176">
        <f t="shared" si="22"/>
        <v>4.7097732639695264E-9</v>
      </c>
      <c r="T446" s="54" t="s">
        <v>849</v>
      </c>
      <c r="U446" s="54" t="s">
        <v>62</v>
      </c>
      <c r="V446" s="54" t="s">
        <v>62</v>
      </c>
      <c r="W446" s="54" t="s">
        <v>1468</v>
      </c>
    </row>
    <row r="447" spans="1:23" x14ac:dyDescent="0.35">
      <c r="A447" s="54">
        <v>122</v>
      </c>
      <c r="B447" s="99" t="s">
        <v>62</v>
      </c>
      <c r="C447" s="54" t="s">
        <v>662</v>
      </c>
      <c r="D447" s="54" t="s">
        <v>847</v>
      </c>
      <c r="E447" s="130" t="s">
        <v>955</v>
      </c>
      <c r="F447" s="54" t="s">
        <v>1436</v>
      </c>
      <c r="G447" s="99"/>
      <c r="I447" s="54">
        <v>4.7315125896148008E-3</v>
      </c>
      <c r="J447" s="99">
        <v>4365.1583224016631</v>
      </c>
      <c r="K447" s="58">
        <f t="shared" si="23"/>
        <v>4.3651583224016627E-3</v>
      </c>
      <c r="R447" s="176"/>
      <c r="S447" s="176">
        <f t="shared" si="22"/>
        <v>4.7315125896148011E-9</v>
      </c>
      <c r="T447" s="54" t="s">
        <v>849</v>
      </c>
      <c r="U447" s="54" t="s">
        <v>62</v>
      </c>
      <c r="V447" s="54" t="s">
        <v>62</v>
      </c>
      <c r="W447" s="54" t="s">
        <v>1468</v>
      </c>
    </row>
    <row r="448" spans="1:23" x14ac:dyDescent="0.35">
      <c r="A448" s="54">
        <v>123</v>
      </c>
      <c r="B448" s="99" t="s">
        <v>62</v>
      </c>
      <c r="C448" s="54" t="s">
        <v>662</v>
      </c>
      <c r="D448" s="54" t="s">
        <v>848</v>
      </c>
      <c r="E448" s="130" t="s">
        <v>1017</v>
      </c>
      <c r="F448" s="54" t="s">
        <v>1434</v>
      </c>
      <c r="G448" s="99"/>
      <c r="I448" s="54">
        <v>4.7973344863668898E-3</v>
      </c>
      <c r="J448" s="99">
        <v>70794.578438413781</v>
      </c>
      <c r="K448" s="58">
        <f t="shared" si="23"/>
        <v>7.0794578438413774E-2</v>
      </c>
      <c r="R448" s="176"/>
      <c r="S448" s="176">
        <f t="shared" si="22"/>
        <v>4.7973344863668895E-9</v>
      </c>
      <c r="T448" s="54" t="s">
        <v>849</v>
      </c>
      <c r="U448" s="54" t="s">
        <v>62</v>
      </c>
      <c r="V448" s="54" t="s">
        <v>62</v>
      </c>
      <c r="W448" s="54" t="s">
        <v>1468</v>
      </c>
    </row>
    <row r="449" spans="1:23" x14ac:dyDescent="0.35">
      <c r="A449" s="54">
        <v>124</v>
      </c>
      <c r="B449" s="99" t="s">
        <v>62</v>
      </c>
      <c r="C449" s="54" t="s">
        <v>662</v>
      </c>
      <c r="D449" s="54" t="s">
        <v>848</v>
      </c>
      <c r="E449" s="130" t="s">
        <v>1012</v>
      </c>
      <c r="F449" s="54" t="s">
        <v>1434</v>
      </c>
      <c r="G449" s="99"/>
      <c r="I449" s="54">
        <v>4.8305880203977272E-3</v>
      </c>
      <c r="J449" s="99">
        <v>16982.436524617482</v>
      </c>
      <c r="K449" s="58">
        <f t="shared" si="23"/>
        <v>1.6982436524617481E-2</v>
      </c>
      <c r="R449" s="176"/>
      <c r="S449" s="176">
        <f t="shared" si="22"/>
        <v>4.8305880203977269E-9</v>
      </c>
      <c r="T449" s="54" t="s">
        <v>849</v>
      </c>
      <c r="U449" s="54" t="s">
        <v>62</v>
      </c>
      <c r="V449" s="54" t="s">
        <v>62</v>
      </c>
      <c r="W449" s="54" t="s">
        <v>1468</v>
      </c>
    </row>
    <row r="450" spans="1:23" x14ac:dyDescent="0.35">
      <c r="A450" s="54">
        <v>125</v>
      </c>
      <c r="B450" s="99" t="s">
        <v>62</v>
      </c>
      <c r="C450" s="54" t="s">
        <v>662</v>
      </c>
      <c r="D450" s="54" t="s">
        <v>847</v>
      </c>
      <c r="E450" s="130" t="s">
        <v>952</v>
      </c>
      <c r="F450" s="54" t="s">
        <v>1435</v>
      </c>
      <c r="G450" s="99"/>
      <c r="I450" s="54">
        <v>4.8640720569146185E-3</v>
      </c>
      <c r="J450" s="99">
        <v>5888.4365535558973</v>
      </c>
      <c r="K450" s="58">
        <f t="shared" si="23"/>
        <v>5.8884365535558977E-3</v>
      </c>
      <c r="R450" s="176"/>
      <c r="S450" s="176">
        <f t="shared" si="22"/>
        <v>4.8640720569146182E-9</v>
      </c>
      <c r="T450" s="54" t="s">
        <v>849</v>
      </c>
      <c r="U450" s="54" t="s">
        <v>62</v>
      </c>
      <c r="V450" s="54" t="s">
        <v>62</v>
      </c>
      <c r="W450" s="54" t="s">
        <v>1468</v>
      </c>
    </row>
    <row r="451" spans="1:23" x14ac:dyDescent="0.35">
      <c r="A451" s="54">
        <v>126</v>
      </c>
      <c r="B451" s="99" t="s">
        <v>62</v>
      </c>
      <c r="C451" s="54" t="s">
        <v>662</v>
      </c>
      <c r="D451" s="54" t="s">
        <v>848</v>
      </c>
      <c r="E451" s="130" t="s">
        <v>977</v>
      </c>
      <c r="F451" s="54" t="s">
        <v>1434</v>
      </c>
      <c r="G451" s="99"/>
      <c r="I451" s="54">
        <v>4.8640720569146185E-3</v>
      </c>
      <c r="J451" s="99">
        <v>17378.008287493791</v>
      </c>
      <c r="K451" s="58">
        <f t="shared" si="23"/>
        <v>1.737800828749379E-2</v>
      </c>
      <c r="R451" s="176"/>
      <c r="S451" s="176">
        <f t="shared" si="22"/>
        <v>4.8640720569146182E-9</v>
      </c>
      <c r="T451" s="54" t="s">
        <v>849</v>
      </c>
      <c r="U451" s="54" t="s">
        <v>62</v>
      </c>
      <c r="V451" s="54" t="s">
        <v>62</v>
      </c>
      <c r="W451" s="54" t="s">
        <v>1468</v>
      </c>
    </row>
    <row r="452" spans="1:23" x14ac:dyDescent="0.35">
      <c r="A452" s="54">
        <v>127</v>
      </c>
      <c r="B452" s="99" t="s">
        <v>62</v>
      </c>
      <c r="C452" s="54" t="s">
        <v>662</v>
      </c>
      <c r="D452" s="54" t="s">
        <v>848</v>
      </c>
      <c r="E452" s="130" t="s">
        <v>996</v>
      </c>
      <c r="F452" s="54" t="s">
        <v>1434</v>
      </c>
      <c r="G452" s="99"/>
      <c r="I452" s="54">
        <v>4.8752849010338557E-3</v>
      </c>
      <c r="J452" s="99">
        <v>20417.379446695286</v>
      </c>
      <c r="K452" s="58">
        <f t="shared" si="23"/>
        <v>2.0417379446695284E-2</v>
      </c>
      <c r="R452" s="176"/>
      <c r="S452" s="176">
        <f t="shared" si="22"/>
        <v>4.8752849010338555E-9</v>
      </c>
      <c r="T452" s="54" t="s">
        <v>849</v>
      </c>
      <c r="U452" s="54" t="s">
        <v>62</v>
      </c>
      <c r="V452" s="54" t="s">
        <v>62</v>
      </c>
      <c r="W452" s="54" t="s">
        <v>1468</v>
      </c>
    </row>
    <row r="453" spans="1:23" x14ac:dyDescent="0.35">
      <c r="A453" s="54">
        <v>128</v>
      </c>
      <c r="B453" s="99" t="s">
        <v>62</v>
      </c>
      <c r="C453" s="54" t="s">
        <v>662</v>
      </c>
      <c r="D453" s="54" t="s">
        <v>848</v>
      </c>
      <c r="E453" s="130" t="s">
        <v>962</v>
      </c>
      <c r="F453" s="54" t="s">
        <v>1434</v>
      </c>
      <c r="G453" s="99"/>
      <c r="I453" s="54">
        <v>4.8977881936844566E-3</v>
      </c>
      <c r="J453" s="99">
        <v>19952.623149688792</v>
      </c>
      <c r="K453" s="58">
        <f t="shared" si="23"/>
        <v>1.9952623149688792E-2</v>
      </c>
      <c r="R453" s="176"/>
      <c r="S453" s="176">
        <f t="shared" si="22"/>
        <v>4.8977881936844567E-9</v>
      </c>
      <c r="T453" s="54" t="s">
        <v>849</v>
      </c>
      <c r="U453" s="54" t="s">
        <v>62</v>
      </c>
      <c r="V453" s="54" t="s">
        <v>62</v>
      </c>
      <c r="W453" s="54" t="s">
        <v>1468</v>
      </c>
    </row>
    <row r="454" spans="1:23" x14ac:dyDescent="0.35">
      <c r="A454" s="54">
        <v>129</v>
      </c>
      <c r="B454" s="99" t="s">
        <v>62</v>
      </c>
      <c r="C454" s="54" t="s">
        <v>662</v>
      </c>
      <c r="D454" s="54" t="s">
        <v>848</v>
      </c>
      <c r="E454" s="130" t="s">
        <v>1009</v>
      </c>
      <c r="F454" s="54" t="s">
        <v>1434</v>
      </c>
      <c r="G454" s="99"/>
      <c r="I454" s="54">
        <v>4.8977881936844566E-3</v>
      </c>
      <c r="J454" s="99">
        <v>20892.961308540423</v>
      </c>
      <c r="K454" s="58">
        <f t="shared" si="23"/>
        <v>2.0892961308540424E-2</v>
      </c>
      <c r="R454" s="176"/>
      <c r="S454" s="176">
        <f t="shared" si="22"/>
        <v>4.8977881936844567E-9</v>
      </c>
      <c r="T454" s="54" t="s">
        <v>849</v>
      </c>
      <c r="U454" s="54" t="s">
        <v>62</v>
      </c>
      <c r="V454" s="54" t="s">
        <v>62</v>
      </c>
      <c r="W454" s="54" t="s">
        <v>1468</v>
      </c>
    </row>
    <row r="455" spans="1:23" x14ac:dyDescent="0.35">
      <c r="A455" s="54">
        <v>130</v>
      </c>
      <c r="B455" s="99" t="s">
        <v>62</v>
      </c>
      <c r="C455" s="54" t="s">
        <v>662</v>
      </c>
      <c r="D455" s="54" t="s">
        <v>848</v>
      </c>
      <c r="E455" s="130" t="s">
        <v>1002</v>
      </c>
      <c r="F455" s="54" t="s">
        <v>1434</v>
      </c>
      <c r="G455" s="99"/>
      <c r="I455" s="54">
        <v>5.0003453497697798E-3</v>
      </c>
      <c r="J455" s="99">
        <v>24547.089156850321</v>
      </c>
      <c r="K455" s="58">
        <f t="shared" si="23"/>
        <v>2.4547089156850322E-2</v>
      </c>
      <c r="R455" s="176"/>
      <c r="S455" s="176">
        <f t="shared" si="22"/>
        <v>5.0003453497697801E-9</v>
      </c>
      <c r="T455" s="54" t="s">
        <v>849</v>
      </c>
      <c r="U455" s="54" t="s">
        <v>62</v>
      </c>
      <c r="V455" s="54" t="s">
        <v>62</v>
      </c>
      <c r="W455" s="54" t="s">
        <v>1468</v>
      </c>
    </row>
    <row r="456" spans="1:23" x14ac:dyDescent="0.35">
      <c r="A456" s="54">
        <v>131</v>
      </c>
      <c r="B456" s="99" t="s">
        <v>62</v>
      </c>
      <c r="C456" s="54" t="s">
        <v>662</v>
      </c>
      <c r="D456" s="54" t="s">
        <v>848</v>
      </c>
      <c r="E456" s="130" t="s">
        <v>997</v>
      </c>
      <c r="F456" s="54" t="s">
        <v>1434</v>
      </c>
      <c r="G456" s="99"/>
      <c r="I456" s="54">
        <v>5.0118723362727212E-3</v>
      </c>
      <c r="J456" s="99">
        <v>25118.86431509586</v>
      </c>
      <c r="K456" s="58">
        <f t="shared" si="23"/>
        <v>2.511886431509586E-2</v>
      </c>
      <c r="R456" s="176"/>
      <c r="S456" s="176">
        <f t="shared" ref="S456:S487" si="24">I456/POWER(10,6)</f>
        <v>5.0118723362727213E-9</v>
      </c>
      <c r="T456" s="54" t="s">
        <v>849</v>
      </c>
      <c r="U456" s="54" t="s">
        <v>62</v>
      </c>
      <c r="V456" s="54" t="s">
        <v>62</v>
      </c>
      <c r="W456" s="54" t="s">
        <v>1468</v>
      </c>
    </row>
    <row r="457" spans="1:23" x14ac:dyDescent="0.35">
      <c r="A457" s="54">
        <v>132</v>
      </c>
      <c r="B457" s="99" t="s">
        <v>62</v>
      </c>
      <c r="C457" s="54" t="s">
        <v>662</v>
      </c>
      <c r="D457" s="54" t="s">
        <v>848</v>
      </c>
      <c r="E457" s="130" t="s">
        <v>976</v>
      </c>
      <c r="F457" s="54" t="s">
        <v>1434</v>
      </c>
      <c r="G457" s="99"/>
      <c r="I457" s="54">
        <v>5.035006087879045E-3</v>
      </c>
      <c r="J457" s="99">
        <v>25703.95782768865</v>
      </c>
      <c r="K457" s="58">
        <f t="shared" si="23"/>
        <v>2.570395782768865E-2</v>
      </c>
      <c r="R457" s="176"/>
      <c r="S457" s="176">
        <f t="shared" si="24"/>
        <v>5.0350060878790449E-9</v>
      </c>
      <c r="T457" s="54" t="s">
        <v>849</v>
      </c>
      <c r="U457" s="54" t="s">
        <v>62</v>
      </c>
      <c r="V457" s="54" t="s">
        <v>62</v>
      </c>
      <c r="W457" s="54" t="s">
        <v>1468</v>
      </c>
    </row>
    <row r="458" spans="1:23" x14ac:dyDescent="0.35">
      <c r="A458" s="54">
        <v>133</v>
      </c>
      <c r="B458" s="99" t="s">
        <v>62</v>
      </c>
      <c r="C458" s="54" t="s">
        <v>662</v>
      </c>
      <c r="D458" s="54" t="s">
        <v>848</v>
      </c>
      <c r="E458" s="130" t="s">
        <v>960</v>
      </c>
      <c r="F458" s="54" t="s">
        <v>1434</v>
      </c>
      <c r="G458" s="99"/>
      <c r="I458" s="54">
        <v>5.0582466200311356E-3</v>
      </c>
      <c r="J458" s="99">
        <v>32359.365692962871</v>
      </c>
      <c r="K458" s="58">
        <f t="shared" si="23"/>
        <v>3.2359365692962869E-2</v>
      </c>
      <c r="R458" s="176"/>
      <c r="S458" s="176">
        <f t="shared" si="24"/>
        <v>5.0582466200311353E-9</v>
      </c>
      <c r="T458" s="54" t="s">
        <v>849</v>
      </c>
      <c r="U458" s="54" t="s">
        <v>62</v>
      </c>
      <c r="V458" s="54" t="s">
        <v>62</v>
      </c>
      <c r="W458" s="54" t="s">
        <v>1468</v>
      </c>
    </row>
    <row r="459" spans="1:23" x14ac:dyDescent="0.35">
      <c r="A459" s="54">
        <v>134</v>
      </c>
      <c r="B459" s="99" t="s">
        <v>62</v>
      </c>
      <c r="C459" s="54" t="s">
        <v>662</v>
      </c>
      <c r="D459" s="54" t="s">
        <v>848</v>
      </c>
      <c r="E459" s="130" t="s">
        <v>985</v>
      </c>
      <c r="F459" s="54" t="s">
        <v>1434</v>
      </c>
      <c r="G459" s="99"/>
      <c r="I459" s="54">
        <v>5.0815944256056029E-3</v>
      </c>
      <c r="J459" s="99">
        <v>27542.287033381719</v>
      </c>
      <c r="K459" s="58">
        <f t="shared" si="23"/>
        <v>2.754228703338172E-2</v>
      </c>
      <c r="R459" s="176"/>
      <c r="S459" s="176">
        <f t="shared" si="24"/>
        <v>5.0815944256056027E-9</v>
      </c>
      <c r="T459" s="54" t="s">
        <v>849</v>
      </c>
      <c r="U459" s="54" t="s">
        <v>62</v>
      </c>
      <c r="V459" s="54" t="s">
        <v>62</v>
      </c>
      <c r="W459" s="54" t="s">
        <v>1468</v>
      </c>
    </row>
    <row r="460" spans="1:23" x14ac:dyDescent="0.35">
      <c r="A460" s="54">
        <v>135</v>
      </c>
      <c r="B460" s="99" t="s">
        <v>62</v>
      </c>
      <c r="C460" s="54" t="s">
        <v>662</v>
      </c>
      <c r="D460" s="54" t="s">
        <v>848</v>
      </c>
      <c r="E460" s="130" t="s">
        <v>981</v>
      </c>
      <c r="F460" s="54" t="s">
        <v>1434</v>
      </c>
      <c r="G460" s="99"/>
      <c r="I460" s="54">
        <v>5.1050499997540577E-3</v>
      </c>
      <c r="J460" s="99">
        <v>35481.33892335758</v>
      </c>
      <c r="K460" s="58">
        <f t="shared" si="23"/>
        <v>3.5481338923357579E-2</v>
      </c>
      <c r="R460" s="176"/>
      <c r="S460" s="176">
        <f t="shared" si="24"/>
        <v>5.105049999754058E-9</v>
      </c>
      <c r="T460" s="54" t="s">
        <v>849</v>
      </c>
      <c r="U460" s="54" t="s">
        <v>62</v>
      </c>
      <c r="V460" s="54" t="s">
        <v>62</v>
      </c>
      <c r="W460" s="54" t="s">
        <v>1468</v>
      </c>
    </row>
    <row r="461" spans="1:23" x14ac:dyDescent="0.35">
      <c r="A461" s="54">
        <v>136</v>
      </c>
      <c r="B461" s="99" t="s">
        <v>62</v>
      </c>
      <c r="C461" s="54" t="s">
        <v>662</v>
      </c>
      <c r="D461" s="54" t="s">
        <v>847</v>
      </c>
      <c r="E461" s="130" t="s">
        <v>956</v>
      </c>
      <c r="F461" s="54" t="s">
        <v>1437</v>
      </c>
      <c r="G461" s="99"/>
      <c r="I461" s="54">
        <v>5.1286138399136471E-3</v>
      </c>
      <c r="J461" s="99">
        <v>10471.285480509003</v>
      </c>
      <c r="K461" s="58">
        <f t="shared" si="23"/>
        <v>1.0471285480509003E-2</v>
      </c>
      <c r="R461" s="176"/>
      <c r="S461" s="176">
        <f t="shared" si="24"/>
        <v>5.1286138399136468E-9</v>
      </c>
      <c r="T461" s="54" t="s">
        <v>849</v>
      </c>
      <c r="U461" s="54" t="s">
        <v>62</v>
      </c>
      <c r="V461" s="54" t="s">
        <v>62</v>
      </c>
      <c r="W461" s="54" t="s">
        <v>1468</v>
      </c>
    </row>
    <row r="462" spans="1:23" x14ac:dyDescent="0.35">
      <c r="A462" s="54">
        <v>137</v>
      </c>
      <c r="B462" s="99" t="s">
        <v>62</v>
      </c>
      <c r="C462" s="54" t="s">
        <v>662</v>
      </c>
      <c r="D462" s="54" t="s">
        <v>848</v>
      </c>
      <c r="E462" s="130" t="s">
        <v>1010</v>
      </c>
      <c r="F462" s="54" t="s">
        <v>1434</v>
      </c>
      <c r="G462" s="99"/>
      <c r="I462" s="54">
        <v>5.1404365158242583E-3</v>
      </c>
      <c r="J462" s="99">
        <v>38018.939632056143</v>
      </c>
      <c r="K462" s="58">
        <f t="shared" si="23"/>
        <v>3.8018939632056145E-2</v>
      </c>
      <c r="R462" s="176"/>
      <c r="S462" s="176">
        <f t="shared" si="24"/>
        <v>5.1404365158242582E-9</v>
      </c>
      <c r="T462" s="54" t="s">
        <v>849</v>
      </c>
      <c r="U462" s="54" t="s">
        <v>62</v>
      </c>
      <c r="V462" s="54" t="s">
        <v>62</v>
      </c>
      <c r="W462" s="54" t="s">
        <v>1468</v>
      </c>
    </row>
    <row r="463" spans="1:23" x14ac:dyDescent="0.35">
      <c r="A463" s="54">
        <v>138</v>
      </c>
      <c r="B463" s="99" t="s">
        <v>62</v>
      </c>
      <c r="C463" s="54" t="s">
        <v>662</v>
      </c>
      <c r="D463" s="54" t="s">
        <v>848</v>
      </c>
      <c r="E463" s="130" t="s">
        <v>980</v>
      </c>
      <c r="F463" s="54" t="s">
        <v>1434</v>
      </c>
      <c r="G463" s="99"/>
      <c r="I463" s="54">
        <v>5.1760683195056752E-3</v>
      </c>
      <c r="J463" s="99">
        <v>56234.132519034953</v>
      </c>
      <c r="K463" s="58">
        <f t="shared" si="23"/>
        <v>5.6234132519034953E-2</v>
      </c>
      <c r="R463" s="176"/>
      <c r="S463" s="176">
        <f t="shared" si="24"/>
        <v>5.1760683195056755E-9</v>
      </c>
      <c r="T463" s="54" t="s">
        <v>849</v>
      </c>
      <c r="U463" s="54" t="s">
        <v>62</v>
      </c>
      <c r="V463" s="54" t="s">
        <v>62</v>
      </c>
      <c r="W463" s="54" t="s">
        <v>1468</v>
      </c>
    </row>
    <row r="464" spans="1:23" x14ac:dyDescent="0.35">
      <c r="A464" s="54">
        <v>139</v>
      </c>
      <c r="B464" s="99" t="s">
        <v>62</v>
      </c>
      <c r="C464" s="54" t="s">
        <v>662</v>
      </c>
      <c r="D464" s="54" t="s">
        <v>848</v>
      </c>
      <c r="E464" s="130" t="s">
        <v>995</v>
      </c>
      <c r="F464" s="54" t="s">
        <v>1434</v>
      </c>
      <c r="G464" s="99"/>
      <c r="I464" s="54">
        <v>5.1880003892896048E-3</v>
      </c>
      <c r="J464" s="99">
        <v>39810.717055349742</v>
      </c>
      <c r="K464" s="58">
        <f t="shared" si="23"/>
        <v>3.9810717055349741E-2</v>
      </c>
      <c r="R464" s="176"/>
      <c r="S464" s="176">
        <f t="shared" si="24"/>
        <v>5.188000389289605E-9</v>
      </c>
      <c r="T464" s="54" t="s">
        <v>849</v>
      </c>
      <c r="U464" s="54" t="s">
        <v>62</v>
      </c>
      <c r="V464" s="54" t="s">
        <v>62</v>
      </c>
      <c r="W464" s="54" t="s">
        <v>1468</v>
      </c>
    </row>
    <row r="465" spans="1:23" x14ac:dyDescent="0.35">
      <c r="A465" s="54">
        <v>140</v>
      </c>
      <c r="B465" s="99" t="s">
        <v>62</v>
      </c>
      <c r="C465" s="54" t="s">
        <v>662</v>
      </c>
      <c r="D465" s="54" t="s">
        <v>848</v>
      </c>
      <c r="E465" s="130" t="s">
        <v>963</v>
      </c>
      <c r="F465" s="54" t="s">
        <v>1434</v>
      </c>
      <c r="G465" s="99"/>
      <c r="I465" s="54">
        <v>5.2360043658575056E-3</v>
      </c>
      <c r="J465" s="99">
        <v>44668.359215096389</v>
      </c>
      <c r="K465" s="58">
        <f t="shared" si="23"/>
        <v>4.466835921509639E-2</v>
      </c>
      <c r="R465" s="176"/>
      <c r="S465" s="176">
        <f t="shared" si="24"/>
        <v>5.2360043658575059E-9</v>
      </c>
      <c r="T465" s="54" t="s">
        <v>849</v>
      </c>
      <c r="U465" s="54" t="s">
        <v>62</v>
      </c>
      <c r="V465" s="54" t="s">
        <v>62</v>
      </c>
      <c r="W465" s="54" t="s">
        <v>1468</v>
      </c>
    </row>
    <row r="466" spans="1:23" x14ac:dyDescent="0.35">
      <c r="A466" s="54">
        <v>141</v>
      </c>
      <c r="B466" s="99" t="s">
        <v>62</v>
      </c>
      <c r="C466" s="54" t="s">
        <v>662</v>
      </c>
      <c r="D466" s="54" t="s">
        <v>848</v>
      </c>
      <c r="E466" s="130" t="s">
        <v>987</v>
      </c>
      <c r="F466" s="54" t="s">
        <v>1434</v>
      </c>
      <c r="G466" s="99"/>
      <c r="I466" s="54">
        <v>5.2966344389165721E-3</v>
      </c>
      <c r="J466" s="99">
        <v>51286.138399136544</v>
      </c>
      <c r="K466" s="58">
        <f t="shared" si="23"/>
        <v>5.1286138399136545E-2</v>
      </c>
      <c r="R466" s="176"/>
      <c r="S466" s="176">
        <f t="shared" si="24"/>
        <v>5.2966344389165717E-9</v>
      </c>
      <c r="T466" s="54" t="s">
        <v>849</v>
      </c>
      <c r="U466" s="54" t="s">
        <v>62</v>
      </c>
      <c r="V466" s="54" t="s">
        <v>62</v>
      </c>
      <c r="W466" s="54" t="s">
        <v>1468</v>
      </c>
    </row>
    <row r="467" spans="1:23" x14ac:dyDescent="0.35">
      <c r="A467" s="54">
        <v>142</v>
      </c>
      <c r="B467" s="99" t="s">
        <v>62</v>
      </c>
      <c r="C467" s="54" t="s">
        <v>662</v>
      </c>
      <c r="D467" s="54" t="s">
        <v>847</v>
      </c>
      <c r="E467" s="130" t="s">
        <v>937</v>
      </c>
      <c r="F467" s="54" t="s">
        <v>1438</v>
      </c>
      <c r="G467" s="99"/>
      <c r="I467" s="54">
        <v>5.345643593969716E-3</v>
      </c>
      <c r="J467" s="99">
        <v>16218.100973589309</v>
      </c>
      <c r="K467" s="58">
        <f t="shared" ref="K467:K498" si="25">J467/POWER(10,6)</f>
        <v>1.6218100973589309E-2</v>
      </c>
      <c r="R467" s="176"/>
      <c r="S467" s="176">
        <f t="shared" si="24"/>
        <v>5.3456435939697161E-9</v>
      </c>
      <c r="T467" s="54" t="s">
        <v>849</v>
      </c>
      <c r="U467" s="54" t="s">
        <v>62</v>
      </c>
      <c r="V467" s="54" t="s">
        <v>62</v>
      </c>
      <c r="W467" s="54" t="s">
        <v>1468</v>
      </c>
    </row>
    <row r="468" spans="1:23" x14ac:dyDescent="0.35">
      <c r="A468" s="54">
        <v>143</v>
      </c>
      <c r="B468" s="99" t="s">
        <v>62</v>
      </c>
      <c r="C468" s="54" t="s">
        <v>662</v>
      </c>
      <c r="D468" s="54" t="s">
        <v>848</v>
      </c>
      <c r="E468" s="130" t="s">
        <v>1007</v>
      </c>
      <c r="F468" s="54" t="s">
        <v>1434</v>
      </c>
      <c r="G468" s="99"/>
      <c r="I468" s="54">
        <v>5.3579665751334144E-3</v>
      </c>
      <c r="J468" s="99">
        <v>61659.500186148245</v>
      </c>
      <c r="K468" s="58">
        <f t="shared" si="25"/>
        <v>6.1659500186148242E-2</v>
      </c>
      <c r="R468" s="176"/>
      <c r="S468" s="176">
        <f t="shared" si="24"/>
        <v>5.3579665751334147E-9</v>
      </c>
      <c r="T468" s="54" t="s">
        <v>849</v>
      </c>
      <c r="U468" s="54" t="s">
        <v>62</v>
      </c>
      <c r="V468" s="54" t="s">
        <v>62</v>
      </c>
      <c r="W468" s="54" t="s">
        <v>1468</v>
      </c>
    </row>
    <row r="469" spans="1:23" x14ac:dyDescent="0.35">
      <c r="A469" s="54">
        <v>144</v>
      </c>
      <c r="B469" s="99" t="s">
        <v>62</v>
      </c>
      <c r="C469" s="54" t="s">
        <v>662</v>
      </c>
      <c r="D469" s="54" t="s">
        <v>848</v>
      </c>
      <c r="E469" s="130" t="s">
        <v>967</v>
      </c>
      <c r="F469" s="54" t="s">
        <v>1434</v>
      </c>
      <c r="G469" s="99"/>
      <c r="I469" s="54">
        <v>5.4200089040162365E-3</v>
      </c>
      <c r="J469" s="99">
        <v>74131.024130091857</v>
      </c>
      <c r="K469" s="58">
        <f t="shared" si="25"/>
        <v>7.4131024130091858E-2</v>
      </c>
      <c r="R469" s="176"/>
      <c r="S469" s="176">
        <f t="shared" si="24"/>
        <v>5.4200089040162367E-9</v>
      </c>
      <c r="T469" s="54" t="s">
        <v>849</v>
      </c>
      <c r="U469" s="54" t="s">
        <v>62</v>
      </c>
      <c r="V469" s="54" t="s">
        <v>62</v>
      </c>
      <c r="W469" s="54" t="s">
        <v>1468</v>
      </c>
    </row>
    <row r="470" spans="1:23" x14ac:dyDescent="0.35">
      <c r="A470" s="54">
        <v>145</v>
      </c>
      <c r="B470" s="99" t="s">
        <v>62</v>
      </c>
      <c r="C470" s="54" t="s">
        <v>662</v>
      </c>
      <c r="D470" s="54" t="s">
        <v>847</v>
      </c>
      <c r="E470" s="130" t="s">
        <v>844</v>
      </c>
      <c r="F470" s="54" t="s">
        <v>1435</v>
      </c>
      <c r="G470" s="99"/>
      <c r="I470" s="54">
        <v>5.4325033149243331E-3</v>
      </c>
      <c r="J470" s="99">
        <v>19054.607179632505</v>
      </c>
      <c r="K470" s="58">
        <f t="shared" si="25"/>
        <v>1.9054607179632504E-2</v>
      </c>
      <c r="R470" s="176"/>
      <c r="S470" s="176">
        <f t="shared" si="24"/>
        <v>5.4325033149243328E-9</v>
      </c>
      <c r="T470" s="54" t="s">
        <v>849</v>
      </c>
      <c r="U470" s="54" t="s">
        <v>62</v>
      </c>
      <c r="V470" s="54" t="s">
        <v>62</v>
      </c>
      <c r="W470" s="54" t="s">
        <v>1468</v>
      </c>
    </row>
    <row r="471" spans="1:23" x14ac:dyDescent="0.35">
      <c r="A471" s="54">
        <v>146</v>
      </c>
      <c r="B471" s="99" t="s">
        <v>62</v>
      </c>
      <c r="C471" s="54" t="s">
        <v>662</v>
      </c>
      <c r="D471" s="54" t="s">
        <v>848</v>
      </c>
      <c r="E471" s="130" t="s">
        <v>965</v>
      </c>
      <c r="F471" s="54" t="s">
        <v>1434</v>
      </c>
      <c r="G471" s="99"/>
      <c r="I471" s="54">
        <v>5.4325033149243331E-3</v>
      </c>
      <c r="J471" s="99">
        <v>70794.578438413781</v>
      </c>
      <c r="K471" s="58">
        <f t="shared" si="25"/>
        <v>7.0794578438413774E-2</v>
      </c>
      <c r="R471" s="176"/>
      <c r="S471" s="176">
        <f t="shared" si="24"/>
        <v>5.4325033149243328E-9</v>
      </c>
      <c r="T471" s="54" t="s">
        <v>849</v>
      </c>
      <c r="U471" s="54" t="s">
        <v>62</v>
      </c>
      <c r="V471" s="54" t="s">
        <v>62</v>
      </c>
      <c r="W471" s="54" t="s">
        <v>1468</v>
      </c>
    </row>
    <row r="472" spans="1:23" x14ac:dyDescent="0.35">
      <c r="A472" s="54">
        <v>147</v>
      </c>
      <c r="B472" s="99" t="s">
        <v>62</v>
      </c>
      <c r="C472" s="54" t="s">
        <v>662</v>
      </c>
      <c r="D472" s="54" t="s">
        <v>848</v>
      </c>
      <c r="E472" s="130" t="s">
        <v>968</v>
      </c>
      <c r="F472" s="54" t="s">
        <v>1434</v>
      </c>
      <c r="G472" s="99"/>
      <c r="I472" s="54">
        <v>5.4325033149243331E-3</v>
      </c>
      <c r="J472" s="99">
        <v>64565.422903465565</v>
      </c>
      <c r="K472" s="58">
        <f t="shared" si="25"/>
        <v>6.4565422903465564E-2</v>
      </c>
      <c r="R472" s="176"/>
      <c r="S472" s="176">
        <f t="shared" si="24"/>
        <v>5.4325033149243328E-9</v>
      </c>
      <c r="T472" s="54" t="s">
        <v>849</v>
      </c>
      <c r="U472" s="54" t="s">
        <v>62</v>
      </c>
      <c r="V472" s="54" t="s">
        <v>62</v>
      </c>
      <c r="W472" s="54" t="s">
        <v>1468</v>
      </c>
    </row>
    <row r="473" spans="1:23" x14ac:dyDescent="0.35">
      <c r="A473" s="54">
        <v>148</v>
      </c>
      <c r="B473" s="99" t="s">
        <v>62</v>
      </c>
      <c r="C473" s="54" t="s">
        <v>662</v>
      </c>
      <c r="D473" s="54" t="s">
        <v>847</v>
      </c>
      <c r="E473" s="130" t="s">
        <v>925</v>
      </c>
      <c r="F473" s="54" t="s">
        <v>1438</v>
      </c>
      <c r="G473" s="99"/>
      <c r="I473" s="54">
        <v>5.4954087385762421E-3</v>
      </c>
      <c r="J473" s="99">
        <v>21877.61623949555</v>
      </c>
      <c r="K473" s="58">
        <f t="shared" si="25"/>
        <v>2.1877616239495551E-2</v>
      </c>
      <c r="R473" s="176"/>
      <c r="S473" s="176">
        <f t="shared" si="24"/>
        <v>5.4954087385762422E-9</v>
      </c>
      <c r="T473" s="54" t="s">
        <v>849</v>
      </c>
      <c r="U473" s="54" t="s">
        <v>62</v>
      </c>
      <c r="V473" s="54" t="s">
        <v>62</v>
      </c>
      <c r="W473" s="54" t="s">
        <v>1468</v>
      </c>
    </row>
    <row r="474" spans="1:23" x14ac:dyDescent="0.35">
      <c r="A474" s="54">
        <v>149</v>
      </c>
      <c r="B474" s="99" t="s">
        <v>62</v>
      </c>
      <c r="C474" s="54" t="s">
        <v>662</v>
      </c>
      <c r="D474" s="54" t="s">
        <v>848</v>
      </c>
      <c r="E474" s="130" t="s">
        <v>991</v>
      </c>
      <c r="F474" s="54" t="s">
        <v>1434</v>
      </c>
      <c r="G474" s="99"/>
      <c r="I474" s="54">
        <v>5.4954087385762421E-3</v>
      </c>
      <c r="J474" s="99">
        <v>75857.757502918481</v>
      </c>
      <c r="K474" s="58">
        <f t="shared" si="25"/>
        <v>7.5857757502918483E-2</v>
      </c>
      <c r="R474" s="176"/>
      <c r="S474" s="176">
        <f t="shared" si="24"/>
        <v>5.4954087385762422E-9</v>
      </c>
      <c r="T474" s="54" t="s">
        <v>849</v>
      </c>
      <c r="U474" s="54" t="s">
        <v>62</v>
      </c>
      <c r="V474" s="54" t="s">
        <v>62</v>
      </c>
      <c r="W474" s="54" t="s">
        <v>1468</v>
      </c>
    </row>
    <row r="475" spans="1:23" x14ac:dyDescent="0.35">
      <c r="A475" s="54">
        <v>150</v>
      </c>
      <c r="B475" s="99" t="s">
        <v>62</v>
      </c>
      <c r="C475" s="54" t="s">
        <v>662</v>
      </c>
      <c r="D475" s="54" t="s">
        <v>847</v>
      </c>
      <c r="E475" s="130" t="s">
        <v>933</v>
      </c>
      <c r="F475" s="54" t="s">
        <v>1438</v>
      </c>
      <c r="G475" s="99"/>
      <c r="I475" s="54">
        <v>5.5590425727040319E-3</v>
      </c>
      <c r="J475" s="99">
        <v>23988.329190194923</v>
      </c>
      <c r="K475" s="58">
        <f t="shared" si="25"/>
        <v>2.3988329190194925E-2</v>
      </c>
      <c r="R475" s="176"/>
      <c r="S475" s="176">
        <f t="shared" si="24"/>
        <v>5.5590425727040323E-9</v>
      </c>
      <c r="T475" s="54" t="s">
        <v>849</v>
      </c>
      <c r="U475" s="54" t="s">
        <v>62</v>
      </c>
      <c r="V475" s="54" t="s">
        <v>62</v>
      </c>
      <c r="W475" s="54" t="s">
        <v>1468</v>
      </c>
    </row>
    <row r="476" spans="1:23" x14ac:dyDescent="0.35">
      <c r="A476" s="54">
        <v>151</v>
      </c>
      <c r="B476" s="99" t="s">
        <v>62</v>
      </c>
      <c r="C476" s="54" t="s">
        <v>662</v>
      </c>
      <c r="D476" s="54" t="s">
        <v>847</v>
      </c>
      <c r="E476" s="130" t="s">
        <v>945</v>
      </c>
      <c r="F476" s="54" t="s">
        <v>1438</v>
      </c>
      <c r="G476" s="99"/>
      <c r="I476" s="54">
        <v>5.6104797603246971E-3</v>
      </c>
      <c r="J476" s="99">
        <v>26915.348039269167</v>
      </c>
      <c r="K476" s="58">
        <f t="shared" si="25"/>
        <v>2.6915348039269166E-2</v>
      </c>
      <c r="R476" s="176"/>
      <c r="S476" s="176">
        <f t="shared" si="24"/>
        <v>5.6104797603246974E-9</v>
      </c>
      <c r="T476" s="54" t="s">
        <v>849</v>
      </c>
      <c r="U476" s="54" t="s">
        <v>62</v>
      </c>
      <c r="V476" s="54" t="s">
        <v>62</v>
      </c>
      <c r="W476" s="54" t="s">
        <v>1468</v>
      </c>
    </row>
    <row r="477" spans="1:23" x14ac:dyDescent="0.35">
      <c r="A477" s="54">
        <v>152</v>
      </c>
      <c r="B477" s="99" t="s">
        <v>62</v>
      </c>
      <c r="C477" s="54" t="s">
        <v>662</v>
      </c>
      <c r="D477" s="54" t="s">
        <v>847</v>
      </c>
      <c r="E477" s="130" t="s">
        <v>950</v>
      </c>
      <c r="F477" s="54" t="s">
        <v>1437</v>
      </c>
      <c r="G477" s="99"/>
      <c r="I477" s="54">
        <v>5.6104797603246971E-3</v>
      </c>
      <c r="J477" s="99">
        <v>26915.348039269167</v>
      </c>
      <c r="K477" s="58">
        <f t="shared" si="25"/>
        <v>2.6915348039269166E-2</v>
      </c>
      <c r="R477" s="176"/>
      <c r="S477" s="176">
        <f t="shared" si="24"/>
        <v>5.6104797603246974E-9</v>
      </c>
      <c r="T477" s="54" t="s">
        <v>849</v>
      </c>
      <c r="U477" s="54" t="s">
        <v>62</v>
      </c>
      <c r="V477" s="54" t="s">
        <v>62</v>
      </c>
      <c r="W477" s="54" t="s">
        <v>1468</v>
      </c>
    </row>
    <row r="478" spans="1:23" x14ac:dyDescent="0.35">
      <c r="A478" s="54">
        <v>153</v>
      </c>
      <c r="B478" s="99" t="s">
        <v>62</v>
      </c>
      <c r="C478" s="54" t="s">
        <v>662</v>
      </c>
      <c r="D478" s="54" t="s">
        <v>848</v>
      </c>
      <c r="E478" s="130" t="s">
        <v>845</v>
      </c>
      <c r="F478" s="54" t="s">
        <v>1434</v>
      </c>
      <c r="G478" s="99"/>
      <c r="I478" s="54">
        <v>5.6493697481230197E-3</v>
      </c>
      <c r="J478" s="99">
        <v>141253.75446227577</v>
      </c>
      <c r="K478" s="58">
        <f t="shared" si="25"/>
        <v>0.14125375446227578</v>
      </c>
      <c r="R478" s="176"/>
      <c r="S478" s="176">
        <f t="shared" si="24"/>
        <v>5.6493697481230199E-9</v>
      </c>
      <c r="T478" s="54" t="s">
        <v>849</v>
      </c>
      <c r="U478" s="54" t="s">
        <v>62</v>
      </c>
      <c r="V478" s="54" t="s">
        <v>62</v>
      </c>
      <c r="W478" s="54" t="s">
        <v>1468</v>
      </c>
    </row>
    <row r="479" spans="1:23" x14ac:dyDescent="0.35">
      <c r="A479" s="54">
        <v>154</v>
      </c>
      <c r="B479" s="99" t="s">
        <v>62</v>
      </c>
      <c r="C479" s="54" t="s">
        <v>662</v>
      </c>
      <c r="D479" s="54" t="s">
        <v>847</v>
      </c>
      <c r="E479" s="130" t="s">
        <v>917</v>
      </c>
      <c r="F479" s="54" t="s">
        <v>1438</v>
      </c>
      <c r="G479" s="99"/>
      <c r="I479" s="54">
        <v>5.6754460540854677E-3</v>
      </c>
      <c r="J479" s="99">
        <v>30902.954325135954</v>
      </c>
      <c r="K479" s="58">
        <f t="shared" si="25"/>
        <v>3.0902954325135953E-2</v>
      </c>
      <c r="R479" s="176"/>
      <c r="S479" s="176">
        <f t="shared" si="24"/>
        <v>5.6754460540854677E-9</v>
      </c>
      <c r="T479" s="54" t="s">
        <v>849</v>
      </c>
      <c r="U479" s="54" t="s">
        <v>62</v>
      </c>
      <c r="V479" s="54" t="s">
        <v>62</v>
      </c>
      <c r="W479" s="54" t="s">
        <v>1468</v>
      </c>
    </row>
    <row r="480" spans="1:23" x14ac:dyDescent="0.35">
      <c r="A480" s="54">
        <v>155</v>
      </c>
      <c r="B480" s="99" t="s">
        <v>62</v>
      </c>
      <c r="C480" s="54" t="s">
        <v>662</v>
      </c>
      <c r="D480" s="54" t="s">
        <v>847</v>
      </c>
      <c r="E480" s="130" t="s">
        <v>958</v>
      </c>
      <c r="F480" s="54" t="s">
        <v>1438</v>
      </c>
      <c r="G480" s="99"/>
      <c r="I480" s="54">
        <v>5.6754460540854677E-3</v>
      </c>
      <c r="J480" s="99">
        <v>30199.517204020212</v>
      </c>
      <c r="K480" s="58">
        <f t="shared" si="25"/>
        <v>3.0199517204020213E-2</v>
      </c>
      <c r="R480" s="176"/>
      <c r="S480" s="176">
        <f t="shared" si="24"/>
        <v>5.6754460540854677E-9</v>
      </c>
      <c r="T480" s="54" t="s">
        <v>849</v>
      </c>
      <c r="U480" s="54" t="s">
        <v>62</v>
      </c>
      <c r="V480" s="54" t="s">
        <v>62</v>
      </c>
      <c r="W480" s="54" t="s">
        <v>1468</v>
      </c>
    </row>
    <row r="481" spans="1:23" x14ac:dyDescent="0.35">
      <c r="A481" s="54">
        <v>156</v>
      </c>
      <c r="B481" s="99" t="s">
        <v>62</v>
      </c>
      <c r="C481" s="54" t="s">
        <v>662</v>
      </c>
      <c r="D481" s="54" t="s">
        <v>847</v>
      </c>
      <c r="E481" s="130" t="s">
        <v>951</v>
      </c>
      <c r="F481" s="54" t="s">
        <v>1437</v>
      </c>
      <c r="G481" s="99"/>
      <c r="I481" s="54">
        <v>5.7411646220732722E-3</v>
      </c>
      <c r="J481" s="99">
        <v>36307.805477010166</v>
      </c>
      <c r="K481" s="58">
        <f t="shared" si="25"/>
        <v>3.6307805477010166E-2</v>
      </c>
      <c r="R481" s="176"/>
      <c r="S481" s="176">
        <f t="shared" si="24"/>
        <v>5.7411646220732719E-9</v>
      </c>
      <c r="T481" s="54" t="s">
        <v>849</v>
      </c>
      <c r="U481" s="54" t="s">
        <v>62</v>
      </c>
      <c r="V481" s="54" t="s">
        <v>62</v>
      </c>
      <c r="W481" s="54" t="s">
        <v>1468</v>
      </c>
    </row>
    <row r="482" spans="1:23" x14ac:dyDescent="0.35">
      <c r="A482" s="54">
        <v>157</v>
      </c>
      <c r="B482" s="99" t="s">
        <v>62</v>
      </c>
      <c r="C482" s="54" t="s">
        <v>662</v>
      </c>
      <c r="D482" s="54" t="s">
        <v>848</v>
      </c>
      <c r="E482" s="130" t="s">
        <v>1006</v>
      </c>
      <c r="F482" s="54" t="s">
        <v>1434</v>
      </c>
      <c r="G482" s="99"/>
      <c r="I482" s="54">
        <v>5.7411646220732722E-3</v>
      </c>
      <c r="J482" s="99">
        <v>169824.36524617471</v>
      </c>
      <c r="K482" s="58">
        <f t="shared" si="25"/>
        <v>0.16982436524617472</v>
      </c>
      <c r="R482" s="176"/>
      <c r="S482" s="176">
        <f t="shared" si="24"/>
        <v>5.7411646220732719E-9</v>
      </c>
      <c r="T482" s="54" t="s">
        <v>849</v>
      </c>
      <c r="U482" s="54" t="s">
        <v>62</v>
      </c>
      <c r="V482" s="54" t="s">
        <v>62</v>
      </c>
      <c r="W482" s="54" t="s">
        <v>1468</v>
      </c>
    </row>
    <row r="483" spans="1:23" x14ac:dyDescent="0.35">
      <c r="A483" s="54">
        <v>158</v>
      </c>
      <c r="B483" s="99" t="s">
        <v>62</v>
      </c>
      <c r="C483" s="54" t="s">
        <v>662</v>
      </c>
      <c r="D483" s="54" t="s">
        <v>848</v>
      </c>
      <c r="E483" s="130" t="s">
        <v>1008</v>
      </c>
      <c r="F483" s="54" t="s">
        <v>1434</v>
      </c>
      <c r="G483" s="99"/>
      <c r="I483" s="54">
        <v>5.7543993733715701E-3</v>
      </c>
      <c r="J483" s="99">
        <v>134896.28825916545</v>
      </c>
      <c r="K483" s="58">
        <f t="shared" si="25"/>
        <v>0.13489628825916544</v>
      </c>
      <c r="R483" s="176"/>
      <c r="S483" s="176">
        <f t="shared" si="24"/>
        <v>5.7543993733715702E-9</v>
      </c>
      <c r="T483" s="54" t="s">
        <v>849</v>
      </c>
      <c r="U483" s="54" t="s">
        <v>62</v>
      </c>
      <c r="V483" s="54" t="s">
        <v>62</v>
      </c>
      <c r="W483" s="54" t="s">
        <v>1468</v>
      </c>
    </row>
    <row r="484" spans="1:23" x14ac:dyDescent="0.35">
      <c r="A484" s="54">
        <v>159</v>
      </c>
      <c r="B484" s="99" t="s">
        <v>62</v>
      </c>
      <c r="C484" s="54" t="s">
        <v>662</v>
      </c>
      <c r="D484" s="54" t="s">
        <v>847</v>
      </c>
      <c r="E484" s="130" t="s">
        <v>911</v>
      </c>
      <c r="F484" s="54" t="s">
        <v>1438</v>
      </c>
      <c r="G484" s="99"/>
      <c r="I484" s="54">
        <v>5.767664633922507E-3</v>
      </c>
      <c r="J484" s="99">
        <v>37153.522909717351</v>
      </c>
      <c r="K484" s="58">
        <f t="shared" si="25"/>
        <v>3.7153522909717351E-2</v>
      </c>
      <c r="R484" s="176"/>
      <c r="S484" s="176">
        <f t="shared" si="24"/>
        <v>5.7676646339225071E-9</v>
      </c>
      <c r="T484" s="54" t="s">
        <v>849</v>
      </c>
      <c r="U484" s="54" t="s">
        <v>62</v>
      </c>
      <c r="V484" s="54" t="s">
        <v>62</v>
      </c>
      <c r="W484" s="54" t="s">
        <v>1468</v>
      </c>
    </row>
    <row r="485" spans="1:23" x14ac:dyDescent="0.35">
      <c r="A485" s="54">
        <v>160</v>
      </c>
      <c r="B485" s="99" t="s">
        <v>62</v>
      </c>
      <c r="C485" s="54" t="s">
        <v>662</v>
      </c>
      <c r="D485" s="54" t="s">
        <v>848</v>
      </c>
      <c r="E485" s="130" t="s">
        <v>994</v>
      </c>
      <c r="F485" s="54" t="s">
        <v>1434</v>
      </c>
      <c r="G485" s="99"/>
      <c r="I485" s="54">
        <v>5.7809604740571797E-3</v>
      </c>
      <c r="J485" s="99">
        <v>131825.67385564081</v>
      </c>
      <c r="K485" s="58">
        <f t="shared" si="25"/>
        <v>0.13182567385564081</v>
      </c>
      <c r="R485" s="176"/>
      <c r="S485" s="176">
        <f t="shared" si="24"/>
        <v>5.7809604740571795E-9</v>
      </c>
      <c r="T485" s="54" t="s">
        <v>849</v>
      </c>
      <c r="U485" s="54" t="s">
        <v>62</v>
      </c>
      <c r="V485" s="54" t="s">
        <v>62</v>
      </c>
      <c r="W485" s="54" t="s">
        <v>1468</v>
      </c>
    </row>
    <row r="486" spans="1:23" x14ac:dyDescent="0.35">
      <c r="A486" s="54">
        <v>161</v>
      </c>
      <c r="B486" s="99" t="s">
        <v>62</v>
      </c>
      <c r="C486" s="54" t="s">
        <v>662</v>
      </c>
      <c r="D486" s="54" t="s">
        <v>848</v>
      </c>
      <c r="E486" s="130" t="s">
        <v>966</v>
      </c>
      <c r="F486" s="54" t="s">
        <v>1434</v>
      </c>
      <c r="G486" s="99"/>
      <c r="I486" s="54">
        <v>5.8613816451402847E-3</v>
      </c>
      <c r="J486" s="99">
        <v>165958.69074375604</v>
      </c>
      <c r="K486" s="58">
        <f t="shared" si="25"/>
        <v>0.16595869074375605</v>
      </c>
      <c r="R486" s="176"/>
      <c r="S486" s="176">
        <f t="shared" si="24"/>
        <v>5.8613816451402845E-9</v>
      </c>
      <c r="T486" s="54" t="s">
        <v>849</v>
      </c>
      <c r="U486" s="54" t="s">
        <v>62</v>
      </c>
      <c r="V486" s="54" t="s">
        <v>62</v>
      </c>
      <c r="W486" s="54" t="s">
        <v>1468</v>
      </c>
    </row>
    <row r="487" spans="1:23" x14ac:dyDescent="0.35">
      <c r="A487" s="54">
        <v>162</v>
      </c>
      <c r="B487" s="99" t="s">
        <v>62</v>
      </c>
      <c r="C487" s="54" t="s">
        <v>662</v>
      </c>
      <c r="D487" s="54" t="s">
        <v>848</v>
      </c>
      <c r="E487" s="130" t="s">
        <v>982</v>
      </c>
      <c r="F487" s="54" t="s">
        <v>1434</v>
      </c>
      <c r="G487" s="99"/>
      <c r="I487" s="54">
        <v>5.8613816451402847E-3</v>
      </c>
      <c r="J487" s="99">
        <v>158489.31924611164</v>
      </c>
      <c r="K487" s="58">
        <f t="shared" si="25"/>
        <v>0.15848931924611165</v>
      </c>
      <c r="R487" s="176"/>
      <c r="S487" s="176">
        <f t="shared" si="24"/>
        <v>5.8613816451402845E-9</v>
      </c>
      <c r="T487" s="54" t="s">
        <v>849</v>
      </c>
      <c r="U487" s="54" t="s">
        <v>62</v>
      </c>
      <c r="V487" s="54" t="s">
        <v>62</v>
      </c>
      <c r="W487" s="54" t="s">
        <v>1468</v>
      </c>
    </row>
    <row r="488" spans="1:23" x14ac:dyDescent="0.35">
      <c r="A488" s="54">
        <v>163</v>
      </c>
      <c r="B488" s="99" t="s">
        <v>62</v>
      </c>
      <c r="C488" s="54" t="s">
        <v>662</v>
      </c>
      <c r="D488" s="54" t="s">
        <v>847</v>
      </c>
      <c r="E488" s="130" t="s">
        <v>929</v>
      </c>
      <c r="F488" s="54" t="s">
        <v>1438</v>
      </c>
      <c r="G488" s="99"/>
      <c r="I488" s="54">
        <v>5.8748935252977679E-3</v>
      </c>
      <c r="J488" s="99">
        <v>43651.583224016598</v>
      </c>
      <c r="K488" s="58">
        <f t="shared" si="25"/>
        <v>4.3651583224016598E-2</v>
      </c>
      <c r="R488" s="176"/>
      <c r="S488" s="176">
        <f t="shared" ref="S488:S519" si="26">I488/POWER(10,6)</f>
        <v>5.8748935252977677E-9</v>
      </c>
      <c r="T488" s="54" t="s">
        <v>849</v>
      </c>
      <c r="U488" s="54" t="s">
        <v>62</v>
      </c>
      <c r="V488" s="54" t="s">
        <v>62</v>
      </c>
      <c r="W488" s="54" t="s">
        <v>1468</v>
      </c>
    </row>
    <row r="489" spans="1:23" x14ac:dyDescent="0.35">
      <c r="A489" s="54">
        <v>164</v>
      </c>
      <c r="B489" s="99" t="s">
        <v>62</v>
      </c>
      <c r="C489" s="54" t="s">
        <v>662</v>
      </c>
      <c r="D489" s="54" t="s">
        <v>847</v>
      </c>
      <c r="E489" s="130" t="s">
        <v>944</v>
      </c>
      <c r="F489" s="54" t="s">
        <v>1438</v>
      </c>
      <c r="G489" s="99"/>
      <c r="I489" s="54">
        <v>5.8884365535558899E-3</v>
      </c>
      <c r="J489" s="99">
        <v>45708.818961487581</v>
      </c>
      <c r="K489" s="58">
        <f t="shared" si="25"/>
        <v>4.5708818961487582E-2</v>
      </c>
      <c r="R489" s="176"/>
      <c r="S489" s="176">
        <f t="shared" si="26"/>
        <v>5.8884365535558895E-9</v>
      </c>
      <c r="T489" s="54" t="s">
        <v>849</v>
      </c>
      <c r="U489" s="54" t="s">
        <v>62</v>
      </c>
      <c r="V489" s="54" t="s">
        <v>62</v>
      </c>
      <c r="W489" s="54" t="s">
        <v>1468</v>
      </c>
    </row>
    <row r="490" spans="1:23" x14ac:dyDescent="0.35">
      <c r="A490" s="54">
        <v>165</v>
      </c>
      <c r="B490" s="99" t="s">
        <v>62</v>
      </c>
      <c r="C490" s="54" t="s">
        <v>662</v>
      </c>
      <c r="D490" s="54" t="s">
        <v>847</v>
      </c>
      <c r="E490" s="130" t="s">
        <v>913</v>
      </c>
      <c r="F490" s="54" t="s">
        <v>1438</v>
      </c>
      <c r="G490" s="99"/>
      <c r="I490" s="54">
        <v>5.9156163417547324E-3</v>
      </c>
      <c r="J490" s="99">
        <v>46773.514128719893</v>
      </c>
      <c r="K490" s="58">
        <f t="shared" si="25"/>
        <v>4.6773514128719891E-2</v>
      </c>
      <c r="R490" s="176"/>
      <c r="S490" s="176">
        <f t="shared" si="26"/>
        <v>5.9156163417547323E-9</v>
      </c>
      <c r="T490" s="54" t="s">
        <v>849</v>
      </c>
      <c r="U490" s="54" t="s">
        <v>62</v>
      </c>
      <c r="V490" s="54" t="s">
        <v>62</v>
      </c>
      <c r="W490" s="54" t="s">
        <v>1468</v>
      </c>
    </row>
    <row r="491" spans="1:23" x14ac:dyDescent="0.35">
      <c r="A491" s="54">
        <v>166</v>
      </c>
      <c r="B491" s="99" t="s">
        <v>62</v>
      </c>
      <c r="C491" s="54" t="s">
        <v>662</v>
      </c>
      <c r="D491" s="54" t="s">
        <v>847</v>
      </c>
      <c r="E491" s="130" t="s">
        <v>909</v>
      </c>
      <c r="F491" s="54" t="s">
        <v>1438</v>
      </c>
      <c r="G491" s="99"/>
      <c r="I491" s="54">
        <v>5.9292532457999939E-3</v>
      </c>
      <c r="J491" s="99">
        <v>50118.723362727294</v>
      </c>
      <c r="K491" s="58">
        <f t="shared" si="25"/>
        <v>5.0118723362727297E-2</v>
      </c>
      <c r="R491" s="176"/>
      <c r="S491" s="176">
        <f t="shared" si="26"/>
        <v>5.9292532457999939E-9</v>
      </c>
      <c r="T491" s="54" t="s">
        <v>849</v>
      </c>
      <c r="U491" s="54" t="s">
        <v>62</v>
      </c>
      <c r="V491" s="54" t="s">
        <v>62</v>
      </c>
      <c r="W491" s="54" t="s">
        <v>1468</v>
      </c>
    </row>
    <row r="492" spans="1:23" x14ac:dyDescent="0.35">
      <c r="A492" s="54">
        <v>167</v>
      </c>
      <c r="B492" s="99" t="s">
        <v>62</v>
      </c>
      <c r="C492" s="54" t="s">
        <v>662</v>
      </c>
      <c r="D492" s="54" t="s">
        <v>848</v>
      </c>
      <c r="E492" s="130" t="s">
        <v>1011</v>
      </c>
      <c r="F492" s="54" t="s">
        <v>1434</v>
      </c>
      <c r="G492" s="99"/>
      <c r="I492" s="54">
        <v>5.9292532457999939E-3</v>
      </c>
      <c r="J492" s="99">
        <v>199526.23149688813</v>
      </c>
      <c r="K492" s="58">
        <f t="shared" si="25"/>
        <v>0.19952623149688811</v>
      </c>
      <c r="R492" s="176"/>
      <c r="S492" s="176">
        <f t="shared" si="26"/>
        <v>5.9292532457999939E-9</v>
      </c>
      <c r="T492" s="54" t="s">
        <v>849</v>
      </c>
      <c r="U492" s="54" t="s">
        <v>62</v>
      </c>
      <c r="V492" s="54" t="s">
        <v>62</v>
      </c>
      <c r="W492" s="54" t="s">
        <v>1468</v>
      </c>
    </row>
    <row r="493" spans="1:23" x14ac:dyDescent="0.35">
      <c r="A493" s="54">
        <v>168</v>
      </c>
      <c r="B493" s="99" t="s">
        <v>62</v>
      </c>
      <c r="C493" s="54" t="s">
        <v>662</v>
      </c>
      <c r="D493" s="54" t="s">
        <v>847</v>
      </c>
      <c r="E493" s="130" t="s">
        <v>949</v>
      </c>
      <c r="F493" s="54" t="s">
        <v>1439</v>
      </c>
      <c r="G493" s="99"/>
      <c r="I493" s="54">
        <v>5.9429215861557224E-3</v>
      </c>
      <c r="J493" s="99">
        <v>50118.723362727294</v>
      </c>
      <c r="K493" s="58">
        <f t="shared" si="25"/>
        <v>5.0118723362727297E-2</v>
      </c>
      <c r="R493" s="176"/>
      <c r="S493" s="176">
        <f t="shared" si="26"/>
        <v>5.9429215861557226E-9</v>
      </c>
      <c r="T493" s="54" t="s">
        <v>849</v>
      </c>
      <c r="U493" s="54" t="s">
        <v>62</v>
      </c>
      <c r="V493" s="54" t="s">
        <v>62</v>
      </c>
      <c r="W493" s="54" t="s">
        <v>1468</v>
      </c>
    </row>
    <row r="494" spans="1:23" x14ac:dyDescent="0.35">
      <c r="A494" s="54">
        <v>169</v>
      </c>
      <c r="B494" s="99" t="s">
        <v>62</v>
      </c>
      <c r="C494" s="54" t="s">
        <v>662</v>
      </c>
      <c r="D494" s="54" t="s">
        <v>847</v>
      </c>
      <c r="E494" s="130" t="s">
        <v>954</v>
      </c>
      <c r="F494" s="54" t="s">
        <v>1440</v>
      </c>
      <c r="G494" s="99"/>
      <c r="I494" s="54">
        <v>5.9429215861557224E-3</v>
      </c>
      <c r="J494" s="99">
        <v>48977.881936844686</v>
      </c>
      <c r="K494" s="58">
        <f t="shared" si="25"/>
        <v>4.8977881936844686E-2</v>
      </c>
      <c r="R494" s="176"/>
      <c r="S494" s="176">
        <f t="shared" si="26"/>
        <v>5.9429215861557226E-9</v>
      </c>
      <c r="T494" s="54" t="s">
        <v>849</v>
      </c>
      <c r="U494" s="54" t="s">
        <v>62</v>
      </c>
      <c r="V494" s="54" t="s">
        <v>62</v>
      </c>
      <c r="W494" s="54" t="s">
        <v>1468</v>
      </c>
    </row>
    <row r="495" spans="1:23" x14ac:dyDescent="0.35">
      <c r="A495" s="54">
        <v>170</v>
      </c>
      <c r="B495" s="99" t="s">
        <v>62</v>
      </c>
      <c r="C495" s="54" t="s">
        <v>662</v>
      </c>
      <c r="D495" s="54" t="s">
        <v>847</v>
      </c>
      <c r="E495" s="130" t="s">
        <v>910</v>
      </c>
      <c r="F495" s="54" t="s">
        <v>1438</v>
      </c>
      <c r="G495" s="99"/>
      <c r="I495" s="54">
        <v>5.970352865838368E-3</v>
      </c>
      <c r="J495" s="99">
        <v>53703.179637025423</v>
      </c>
      <c r="K495" s="58">
        <f t="shared" si="25"/>
        <v>5.3703179637025422E-2</v>
      </c>
      <c r="R495" s="176"/>
      <c r="S495" s="176">
        <f t="shared" si="26"/>
        <v>5.9703528658383678E-9</v>
      </c>
      <c r="T495" s="54" t="s">
        <v>849</v>
      </c>
      <c r="U495" s="54" t="s">
        <v>62</v>
      </c>
      <c r="V495" s="54" t="s">
        <v>62</v>
      </c>
      <c r="W495" s="54" t="s">
        <v>1468</v>
      </c>
    </row>
    <row r="496" spans="1:23" x14ac:dyDescent="0.35">
      <c r="A496" s="54">
        <v>171</v>
      </c>
      <c r="B496" s="99" t="s">
        <v>62</v>
      </c>
      <c r="C496" s="54" t="s">
        <v>662</v>
      </c>
      <c r="D496" s="54" t="s">
        <v>848</v>
      </c>
      <c r="E496" s="130" t="s">
        <v>961</v>
      </c>
      <c r="F496" s="54" t="s">
        <v>1434</v>
      </c>
      <c r="G496" s="99"/>
      <c r="I496" s="54">
        <v>5.9841159506031942E-3</v>
      </c>
      <c r="J496" s="99">
        <v>234422.88153199267</v>
      </c>
      <c r="K496" s="58">
        <f t="shared" si="25"/>
        <v>0.23442288153199267</v>
      </c>
      <c r="R496" s="176"/>
      <c r="S496" s="176">
        <f t="shared" si="26"/>
        <v>5.9841159506031939E-9</v>
      </c>
      <c r="T496" s="54" t="s">
        <v>849</v>
      </c>
      <c r="U496" s="54" t="s">
        <v>62</v>
      </c>
      <c r="V496" s="54" t="s">
        <v>62</v>
      </c>
      <c r="W496" s="54" t="s">
        <v>1468</v>
      </c>
    </row>
    <row r="497" spans="1:23" x14ac:dyDescent="0.35">
      <c r="A497" s="54">
        <v>172</v>
      </c>
      <c r="B497" s="99" t="s">
        <v>62</v>
      </c>
      <c r="C497" s="54" t="s">
        <v>662</v>
      </c>
      <c r="D497" s="54" t="s">
        <v>847</v>
      </c>
      <c r="E497" s="130" t="s">
        <v>957</v>
      </c>
      <c r="F497" s="54" t="s">
        <v>1438</v>
      </c>
      <c r="G497" s="99"/>
      <c r="I497" s="54">
        <v>5.9979107625550906E-3</v>
      </c>
      <c r="J497" s="99">
        <v>53703.179637025423</v>
      </c>
      <c r="K497" s="58">
        <f t="shared" si="25"/>
        <v>5.3703179637025422E-2</v>
      </c>
      <c r="R497" s="176"/>
      <c r="S497" s="176">
        <f t="shared" si="26"/>
        <v>5.9979107625550903E-9</v>
      </c>
      <c r="T497" s="54" t="s">
        <v>849</v>
      </c>
      <c r="U497" s="54" t="s">
        <v>62</v>
      </c>
      <c r="V497" s="54" t="s">
        <v>62</v>
      </c>
      <c r="W497" s="54" t="s">
        <v>1468</v>
      </c>
    </row>
    <row r="498" spans="1:23" x14ac:dyDescent="0.35">
      <c r="A498" s="54">
        <v>173</v>
      </c>
      <c r="B498" s="99" t="s">
        <v>62</v>
      </c>
      <c r="C498" s="54" t="s">
        <v>662</v>
      </c>
      <c r="D498" s="54" t="s">
        <v>847</v>
      </c>
      <c r="E498" s="130" t="s">
        <v>943</v>
      </c>
      <c r="F498" s="54" t="s">
        <v>1438</v>
      </c>
      <c r="G498" s="99"/>
      <c r="I498" s="54">
        <v>6.0117373748327756E-3</v>
      </c>
      <c r="J498" s="99">
        <v>56234.132519034953</v>
      </c>
      <c r="K498" s="58">
        <f t="shared" si="25"/>
        <v>5.6234132519034953E-2</v>
      </c>
      <c r="R498" s="176"/>
      <c r="S498" s="176">
        <f t="shared" si="26"/>
        <v>6.0117373748327753E-9</v>
      </c>
      <c r="T498" s="54" t="s">
        <v>849</v>
      </c>
      <c r="U498" s="54" t="s">
        <v>62</v>
      </c>
      <c r="V498" s="54" t="s">
        <v>62</v>
      </c>
      <c r="W498" s="54" t="s">
        <v>1468</v>
      </c>
    </row>
    <row r="499" spans="1:23" x14ac:dyDescent="0.35">
      <c r="A499" s="54">
        <v>174</v>
      </c>
      <c r="B499" s="99" t="s">
        <v>62</v>
      </c>
      <c r="C499" s="54" t="s">
        <v>662</v>
      </c>
      <c r="D499" s="54" t="s">
        <v>848</v>
      </c>
      <c r="E499" s="130" t="s">
        <v>1004</v>
      </c>
      <c r="F499" s="54" t="s">
        <v>1434</v>
      </c>
      <c r="G499" s="99"/>
      <c r="I499" s="54">
        <v>6.0394862937637912E-3</v>
      </c>
      <c r="J499" s="99">
        <v>316227.7660168382</v>
      </c>
      <c r="K499" s="58">
        <f t="shared" ref="K499:K530" si="27">J499/POWER(10,6)</f>
        <v>0.31622776601683822</v>
      </c>
      <c r="R499" s="176"/>
      <c r="S499" s="176">
        <f t="shared" si="26"/>
        <v>6.0394862937637909E-9</v>
      </c>
      <c r="T499" s="54" t="s">
        <v>849</v>
      </c>
      <c r="U499" s="54" t="s">
        <v>62</v>
      </c>
      <c r="V499" s="54" t="s">
        <v>62</v>
      </c>
      <c r="W499" s="54" t="s">
        <v>1468</v>
      </c>
    </row>
    <row r="500" spans="1:23" x14ac:dyDescent="0.35">
      <c r="A500" s="54">
        <v>175</v>
      </c>
      <c r="B500" s="99" t="s">
        <v>62</v>
      </c>
      <c r="C500" s="54" t="s">
        <v>662</v>
      </c>
      <c r="D500" s="54" t="s">
        <v>847</v>
      </c>
      <c r="E500" s="130" t="s">
        <v>915</v>
      </c>
      <c r="F500" s="54" t="s">
        <v>1438</v>
      </c>
      <c r="G500" s="99"/>
      <c r="I500" s="54">
        <v>6.0534087475391327E-3</v>
      </c>
      <c r="J500" s="99">
        <v>64565.422903465565</v>
      </c>
      <c r="K500" s="58">
        <f t="shared" si="27"/>
        <v>6.4565422903465564E-2</v>
      </c>
      <c r="R500" s="176"/>
      <c r="S500" s="176">
        <f t="shared" si="26"/>
        <v>6.0534087475391328E-9</v>
      </c>
      <c r="T500" s="54" t="s">
        <v>849</v>
      </c>
      <c r="U500" s="54" t="s">
        <v>62</v>
      </c>
      <c r="V500" s="54" t="s">
        <v>62</v>
      </c>
      <c r="W500" s="54" t="s">
        <v>1468</v>
      </c>
    </row>
    <row r="501" spans="1:23" x14ac:dyDescent="0.35">
      <c r="A501" s="54">
        <v>176</v>
      </c>
      <c r="B501" s="99" t="s">
        <v>62</v>
      </c>
      <c r="C501" s="54" t="s">
        <v>662</v>
      </c>
      <c r="D501" s="54" t="s">
        <v>847</v>
      </c>
      <c r="E501" s="130" t="s">
        <v>947</v>
      </c>
      <c r="F501" s="54" t="s">
        <v>1435</v>
      </c>
      <c r="G501" s="99"/>
      <c r="I501" s="54">
        <v>6.0673632958850501E-3</v>
      </c>
      <c r="J501" s="99">
        <v>61659.500186148245</v>
      </c>
      <c r="K501" s="58">
        <f t="shared" si="27"/>
        <v>6.1659500186148242E-2</v>
      </c>
      <c r="R501" s="176"/>
      <c r="S501" s="176">
        <f t="shared" si="26"/>
        <v>6.0673632958850501E-9</v>
      </c>
      <c r="T501" s="54" t="s">
        <v>849</v>
      </c>
      <c r="U501" s="54" t="s">
        <v>62</v>
      </c>
      <c r="V501" s="54" t="s">
        <v>62</v>
      </c>
      <c r="W501" s="54" t="s">
        <v>1468</v>
      </c>
    </row>
    <row r="502" spans="1:23" x14ac:dyDescent="0.35">
      <c r="A502" s="54">
        <v>177</v>
      </c>
      <c r="B502" s="99" t="s">
        <v>62</v>
      </c>
      <c r="C502" s="54" t="s">
        <v>662</v>
      </c>
      <c r="D502" s="54" t="s">
        <v>847</v>
      </c>
      <c r="E502" s="130" t="s">
        <v>922</v>
      </c>
      <c r="F502" s="54" t="s">
        <v>1438</v>
      </c>
      <c r="G502" s="99"/>
      <c r="I502" s="54">
        <v>6.0813500127871734E-3</v>
      </c>
      <c r="J502" s="99">
        <v>63095.734448019342</v>
      </c>
      <c r="K502" s="58">
        <f t="shared" si="27"/>
        <v>6.3095734448019344E-2</v>
      </c>
      <c r="R502" s="176"/>
      <c r="S502" s="176">
        <f t="shared" si="26"/>
        <v>6.0813500127871732E-9</v>
      </c>
      <c r="T502" s="54" t="s">
        <v>849</v>
      </c>
      <c r="U502" s="54" t="s">
        <v>62</v>
      </c>
      <c r="V502" s="54" t="s">
        <v>62</v>
      </c>
      <c r="W502" s="54" t="s">
        <v>1468</v>
      </c>
    </row>
    <row r="503" spans="1:23" x14ac:dyDescent="0.35">
      <c r="A503" s="54">
        <v>178</v>
      </c>
      <c r="B503" s="99" t="s">
        <v>62</v>
      </c>
      <c r="C503" s="54" t="s">
        <v>662</v>
      </c>
      <c r="D503" s="54" t="s">
        <v>847</v>
      </c>
      <c r="E503" s="130" t="s">
        <v>916</v>
      </c>
      <c r="F503" s="54" t="s">
        <v>1438</v>
      </c>
      <c r="G503" s="99"/>
      <c r="I503" s="54">
        <v>6.180164001384156E-3</v>
      </c>
      <c r="J503" s="99">
        <v>74131.024130091857</v>
      </c>
      <c r="K503" s="58">
        <f t="shared" si="27"/>
        <v>7.4131024130091858E-2</v>
      </c>
      <c r="R503" s="176"/>
      <c r="S503" s="176">
        <f t="shared" si="26"/>
        <v>6.180164001384156E-9</v>
      </c>
      <c r="T503" s="54" t="s">
        <v>849</v>
      </c>
      <c r="U503" s="54" t="s">
        <v>62</v>
      </c>
      <c r="V503" s="54" t="s">
        <v>62</v>
      </c>
      <c r="W503" s="54" t="s">
        <v>1468</v>
      </c>
    </row>
    <row r="504" spans="1:23" x14ac:dyDescent="0.35">
      <c r="A504" s="54">
        <v>179</v>
      </c>
      <c r="B504" s="99" t="s">
        <v>62</v>
      </c>
      <c r="C504" s="54" t="s">
        <v>662</v>
      </c>
      <c r="D504" s="54" t="s">
        <v>847</v>
      </c>
      <c r="E504" s="130" t="s">
        <v>926</v>
      </c>
      <c r="F504" s="54" t="s">
        <v>1438</v>
      </c>
      <c r="G504" s="99"/>
      <c r="I504" s="54">
        <v>6.1944107507678169E-3</v>
      </c>
      <c r="J504" s="99">
        <v>77624.711662869129</v>
      </c>
      <c r="K504" s="58">
        <f t="shared" si="27"/>
        <v>7.7624711662869134E-2</v>
      </c>
      <c r="R504" s="176"/>
      <c r="S504" s="176">
        <f t="shared" si="26"/>
        <v>6.1944107507678165E-9</v>
      </c>
      <c r="T504" s="54" t="s">
        <v>849</v>
      </c>
      <c r="U504" s="54" t="s">
        <v>62</v>
      </c>
      <c r="V504" s="54" t="s">
        <v>62</v>
      </c>
      <c r="W504" s="54" t="s">
        <v>1468</v>
      </c>
    </row>
    <row r="505" spans="1:23" x14ac:dyDescent="0.35">
      <c r="A505" s="54">
        <v>180</v>
      </c>
      <c r="B505" s="99" t="s">
        <v>62</v>
      </c>
      <c r="C505" s="54" t="s">
        <v>662</v>
      </c>
      <c r="D505" s="54" t="s">
        <v>848</v>
      </c>
      <c r="E505" s="130" t="s">
        <v>1014</v>
      </c>
      <c r="F505" s="54" t="s">
        <v>1434</v>
      </c>
      <c r="G505" s="99"/>
      <c r="I505" s="54">
        <v>6.208690342300636E-3</v>
      </c>
      <c r="J505" s="99">
        <v>331131.12148259126</v>
      </c>
      <c r="K505" s="58">
        <f t="shared" si="27"/>
        <v>0.33113112148259127</v>
      </c>
      <c r="R505" s="176"/>
      <c r="S505" s="176">
        <f t="shared" si="26"/>
        <v>6.208690342300636E-9</v>
      </c>
      <c r="T505" s="54" t="s">
        <v>849</v>
      </c>
      <c r="U505" s="54" t="s">
        <v>62</v>
      </c>
      <c r="V505" s="54" t="s">
        <v>62</v>
      </c>
      <c r="W505" s="54" t="s">
        <v>1468</v>
      </c>
    </row>
    <row r="506" spans="1:23" x14ac:dyDescent="0.35">
      <c r="A506" s="54">
        <v>181</v>
      </c>
      <c r="B506" s="99" t="s">
        <v>62</v>
      </c>
      <c r="C506" s="54" t="s">
        <v>662</v>
      </c>
      <c r="D506" s="54" t="s">
        <v>847</v>
      </c>
      <c r="E506" s="130" t="s">
        <v>953</v>
      </c>
      <c r="F506" s="54" t="s">
        <v>1440</v>
      </c>
      <c r="G506" s="99"/>
      <c r="I506" s="54">
        <v>6.223002851691594E-3</v>
      </c>
      <c r="J506" s="99">
        <v>81283.051616410012</v>
      </c>
      <c r="K506" s="58">
        <f t="shared" si="27"/>
        <v>8.1283051616410015E-2</v>
      </c>
      <c r="R506" s="176"/>
      <c r="S506" s="176">
        <f t="shared" si="26"/>
        <v>6.2230028516915941E-9</v>
      </c>
      <c r="T506" s="54" t="s">
        <v>849</v>
      </c>
      <c r="U506" s="54" t="s">
        <v>62</v>
      </c>
      <c r="V506" s="54" t="s">
        <v>62</v>
      </c>
      <c r="W506" s="54" t="s">
        <v>1468</v>
      </c>
    </row>
    <row r="507" spans="1:23" x14ac:dyDescent="0.35">
      <c r="A507" s="54">
        <v>182</v>
      </c>
      <c r="B507" s="99" t="s">
        <v>62</v>
      </c>
      <c r="C507" s="54" t="s">
        <v>662</v>
      </c>
      <c r="D507" s="54" t="s">
        <v>848</v>
      </c>
      <c r="E507" s="130" t="s">
        <v>984</v>
      </c>
      <c r="F507" s="54" t="s">
        <v>1434</v>
      </c>
      <c r="G507" s="99"/>
      <c r="I507" s="54">
        <v>6.2373483548241902E-3</v>
      </c>
      <c r="J507" s="99">
        <v>489778.81936844741</v>
      </c>
      <c r="K507" s="58">
        <f t="shared" si="27"/>
        <v>0.48977881936844742</v>
      </c>
      <c r="R507" s="176"/>
      <c r="S507" s="176">
        <f t="shared" si="26"/>
        <v>6.2373483548241902E-9</v>
      </c>
      <c r="T507" s="54" t="s">
        <v>849</v>
      </c>
      <c r="U507" s="54" t="s">
        <v>62</v>
      </c>
      <c r="V507" s="54" t="s">
        <v>62</v>
      </c>
      <c r="W507" s="54" t="s">
        <v>1468</v>
      </c>
    </row>
    <row r="508" spans="1:23" x14ac:dyDescent="0.35">
      <c r="A508" s="54">
        <v>183</v>
      </c>
      <c r="B508" s="99" t="s">
        <v>62</v>
      </c>
      <c r="C508" s="54" t="s">
        <v>662</v>
      </c>
      <c r="D508" s="54" t="s">
        <v>847</v>
      </c>
      <c r="E508" s="130" t="s">
        <v>918</v>
      </c>
      <c r="F508" s="54" t="s">
        <v>1435</v>
      </c>
      <c r="G508" s="99"/>
      <c r="I508" s="54">
        <v>6.2805835881331743E-3</v>
      </c>
      <c r="J508" s="99">
        <v>91201.083935591028</v>
      </c>
      <c r="K508" s="58">
        <f t="shared" si="27"/>
        <v>9.1201083935591024E-2</v>
      </c>
      <c r="R508" s="176"/>
      <c r="S508" s="176">
        <f t="shared" si="26"/>
        <v>6.280583588133174E-9</v>
      </c>
      <c r="T508" s="54" t="s">
        <v>849</v>
      </c>
      <c r="U508" s="54" t="s">
        <v>62</v>
      </c>
      <c r="V508" s="54" t="s">
        <v>62</v>
      </c>
      <c r="W508" s="54" t="s">
        <v>1468</v>
      </c>
    </row>
    <row r="509" spans="1:23" x14ac:dyDescent="0.35">
      <c r="A509" s="54">
        <v>184</v>
      </c>
      <c r="B509" s="99" t="s">
        <v>62</v>
      </c>
      <c r="C509" s="54" t="s">
        <v>662</v>
      </c>
      <c r="D509" s="54" t="s">
        <v>847</v>
      </c>
      <c r="E509" s="130" t="s">
        <v>942</v>
      </c>
      <c r="F509" s="54" t="s">
        <v>1438</v>
      </c>
      <c r="G509" s="99"/>
      <c r="I509" s="54">
        <v>6.2805835881331743E-3</v>
      </c>
      <c r="J509" s="99">
        <v>89125.093813374609</v>
      </c>
      <c r="K509" s="58">
        <f t="shared" si="27"/>
        <v>8.9125093813374606E-2</v>
      </c>
      <c r="R509" s="176"/>
      <c r="S509" s="176">
        <f t="shared" si="26"/>
        <v>6.280583588133174E-9</v>
      </c>
      <c r="T509" s="54" t="s">
        <v>849</v>
      </c>
      <c r="U509" s="54" t="s">
        <v>62</v>
      </c>
      <c r="V509" s="54" t="s">
        <v>62</v>
      </c>
      <c r="W509" s="54" t="s">
        <v>1468</v>
      </c>
    </row>
    <row r="510" spans="1:23" x14ac:dyDescent="0.35">
      <c r="A510" s="54">
        <v>185</v>
      </c>
      <c r="B510" s="99" t="s">
        <v>62</v>
      </c>
      <c r="C510" s="54" t="s">
        <v>662</v>
      </c>
      <c r="D510" s="54" t="s">
        <v>847</v>
      </c>
      <c r="E510" s="130" t="s">
        <v>941</v>
      </c>
      <c r="F510" s="54" t="s">
        <v>1438</v>
      </c>
      <c r="G510" s="99"/>
      <c r="I510" s="54">
        <v>6.2950618285719691E-3</v>
      </c>
      <c r="J510" s="99">
        <v>89125.093813374609</v>
      </c>
      <c r="K510" s="58">
        <f t="shared" si="27"/>
        <v>8.9125093813374606E-2</v>
      </c>
      <c r="R510" s="176"/>
      <c r="S510" s="176">
        <f t="shared" si="26"/>
        <v>6.2950618285719691E-9</v>
      </c>
      <c r="T510" s="54" t="s">
        <v>849</v>
      </c>
      <c r="U510" s="54" t="s">
        <v>62</v>
      </c>
      <c r="V510" s="54" t="s">
        <v>62</v>
      </c>
      <c r="W510" s="54" t="s">
        <v>1468</v>
      </c>
    </row>
    <row r="511" spans="1:23" x14ac:dyDescent="0.35">
      <c r="A511" s="54">
        <v>186</v>
      </c>
      <c r="B511" s="99" t="s">
        <v>62</v>
      </c>
      <c r="C511" s="54" t="s">
        <v>662</v>
      </c>
      <c r="D511" s="54" t="s">
        <v>848</v>
      </c>
      <c r="E511" s="130" t="s">
        <v>1015</v>
      </c>
      <c r="F511" s="54" t="s">
        <v>1434</v>
      </c>
      <c r="G511" s="99"/>
      <c r="I511" s="54">
        <v>6.3679552090791514E-3</v>
      </c>
      <c r="J511" s="99">
        <v>467735.14128719864</v>
      </c>
      <c r="K511" s="58">
        <f t="shared" si="27"/>
        <v>0.46773514128719862</v>
      </c>
      <c r="R511" s="176"/>
      <c r="S511" s="176">
        <f t="shared" si="26"/>
        <v>6.3679552090791511E-9</v>
      </c>
      <c r="T511" s="54" t="s">
        <v>849</v>
      </c>
      <c r="U511" s="54" t="s">
        <v>62</v>
      </c>
      <c r="V511" s="54" t="s">
        <v>62</v>
      </c>
      <c r="W511" s="54" t="s">
        <v>1468</v>
      </c>
    </row>
    <row r="512" spans="1:23" x14ac:dyDescent="0.35">
      <c r="A512" s="54">
        <v>187</v>
      </c>
      <c r="B512" s="99" t="s">
        <v>62</v>
      </c>
      <c r="C512" s="54" t="s">
        <v>662</v>
      </c>
      <c r="D512" s="54" t="s">
        <v>847</v>
      </c>
      <c r="E512" s="130" t="s">
        <v>912</v>
      </c>
      <c r="F512" s="54" t="s">
        <v>1438</v>
      </c>
      <c r="G512" s="99"/>
      <c r="I512" s="54">
        <v>6.3973483548264778E-3</v>
      </c>
      <c r="J512" s="99">
        <v>112201.84543019651</v>
      </c>
      <c r="K512" s="58">
        <f t="shared" si="27"/>
        <v>0.11220184543019651</v>
      </c>
      <c r="R512" s="176"/>
      <c r="S512" s="176">
        <f t="shared" si="26"/>
        <v>6.3973483548264776E-9</v>
      </c>
      <c r="T512" s="54" t="s">
        <v>849</v>
      </c>
      <c r="U512" s="54" t="s">
        <v>62</v>
      </c>
      <c r="V512" s="54" t="s">
        <v>62</v>
      </c>
      <c r="W512" s="54" t="s">
        <v>1468</v>
      </c>
    </row>
    <row r="513" spans="1:23" x14ac:dyDescent="0.35">
      <c r="A513" s="54">
        <v>188</v>
      </c>
      <c r="B513" s="99" t="s">
        <v>62</v>
      </c>
      <c r="C513" s="54" t="s">
        <v>662</v>
      </c>
      <c r="D513" s="54" t="s">
        <v>847</v>
      </c>
      <c r="E513" s="130" t="s">
        <v>921</v>
      </c>
      <c r="F513" s="54" t="s">
        <v>1438</v>
      </c>
      <c r="G513" s="99"/>
      <c r="I513" s="54">
        <v>6.3973483548264778E-3</v>
      </c>
      <c r="J513" s="99">
        <v>109647.81961431868</v>
      </c>
      <c r="K513" s="58">
        <f t="shared" si="27"/>
        <v>0.10964781961431867</v>
      </c>
      <c r="R513" s="176"/>
      <c r="S513" s="176">
        <f t="shared" si="26"/>
        <v>6.3973483548264776E-9</v>
      </c>
      <c r="T513" s="54" t="s">
        <v>849</v>
      </c>
      <c r="U513" s="54" t="s">
        <v>62</v>
      </c>
      <c r="V513" s="54" t="s">
        <v>62</v>
      </c>
      <c r="W513" s="54" t="s">
        <v>1468</v>
      </c>
    </row>
    <row r="514" spans="1:23" x14ac:dyDescent="0.35">
      <c r="A514" s="54">
        <v>189</v>
      </c>
      <c r="B514" s="99" t="s">
        <v>62</v>
      </c>
      <c r="C514" s="54" t="s">
        <v>662</v>
      </c>
      <c r="D514" s="54" t="s">
        <v>847</v>
      </c>
      <c r="E514" s="130" t="s">
        <v>924</v>
      </c>
      <c r="F514" s="54" t="s">
        <v>1438</v>
      </c>
      <c r="G514" s="99"/>
      <c r="I514" s="54">
        <v>6.3973483548264778E-3</v>
      </c>
      <c r="J514" s="99">
        <v>109647.81961431868</v>
      </c>
      <c r="K514" s="58">
        <f t="shared" si="27"/>
        <v>0.10964781961431867</v>
      </c>
      <c r="R514" s="176"/>
      <c r="S514" s="176">
        <f t="shared" si="26"/>
        <v>6.3973483548264776E-9</v>
      </c>
      <c r="T514" s="54" t="s">
        <v>849</v>
      </c>
      <c r="U514" s="54" t="s">
        <v>62</v>
      </c>
      <c r="V514" s="54" t="s">
        <v>62</v>
      </c>
      <c r="W514" s="54" t="s">
        <v>1468</v>
      </c>
    </row>
    <row r="515" spans="1:23" x14ac:dyDescent="0.35">
      <c r="A515" s="54">
        <v>190</v>
      </c>
      <c r="B515" s="99" t="s">
        <v>62</v>
      </c>
      <c r="C515" s="54" t="s">
        <v>662</v>
      </c>
      <c r="D515" s="54" t="s">
        <v>848</v>
      </c>
      <c r="E515" s="130" t="s">
        <v>983</v>
      </c>
      <c r="F515" s="54" t="s">
        <v>1434</v>
      </c>
      <c r="G515" s="99"/>
      <c r="I515" s="54">
        <v>6.3973483548264778E-3</v>
      </c>
      <c r="J515" s="99">
        <v>407380.27780411334</v>
      </c>
      <c r="K515" s="58">
        <f t="shared" si="27"/>
        <v>0.40738027780411334</v>
      </c>
      <c r="R515" s="176"/>
      <c r="S515" s="176">
        <f t="shared" si="26"/>
        <v>6.3973483548264776E-9</v>
      </c>
      <c r="T515" s="54" t="s">
        <v>849</v>
      </c>
      <c r="U515" s="54" t="s">
        <v>62</v>
      </c>
      <c r="V515" s="54" t="s">
        <v>62</v>
      </c>
      <c r="W515" s="54" t="s">
        <v>1468</v>
      </c>
    </row>
    <row r="516" spans="1:23" x14ac:dyDescent="0.35">
      <c r="A516" s="54">
        <v>191</v>
      </c>
      <c r="B516" s="99" t="s">
        <v>62</v>
      </c>
      <c r="C516" s="54" t="s">
        <v>662</v>
      </c>
      <c r="D516" s="54" t="s">
        <v>847</v>
      </c>
      <c r="E516" s="130" t="s">
        <v>923</v>
      </c>
      <c r="F516" s="54" t="s">
        <v>1438</v>
      </c>
      <c r="G516" s="99"/>
      <c r="I516" s="54">
        <v>6.426877173170191E-3</v>
      </c>
      <c r="J516" s="99">
        <v>117489.75549395311</v>
      </c>
      <c r="K516" s="58">
        <f t="shared" si="27"/>
        <v>0.11748975549395312</v>
      </c>
      <c r="R516" s="176"/>
      <c r="S516" s="176">
        <f t="shared" si="26"/>
        <v>6.4268771731701908E-9</v>
      </c>
      <c r="T516" s="54" t="s">
        <v>849</v>
      </c>
      <c r="U516" s="54" t="s">
        <v>62</v>
      </c>
      <c r="V516" s="54" t="s">
        <v>62</v>
      </c>
      <c r="W516" s="54" t="s">
        <v>1468</v>
      </c>
    </row>
    <row r="517" spans="1:23" x14ac:dyDescent="0.35">
      <c r="A517" s="54">
        <v>192</v>
      </c>
      <c r="B517" s="99" t="s">
        <v>62</v>
      </c>
      <c r="C517" s="54" t="s">
        <v>662</v>
      </c>
      <c r="D517" s="54" t="s">
        <v>847</v>
      </c>
      <c r="E517" s="130" t="s">
        <v>938</v>
      </c>
      <c r="F517" s="54" t="s">
        <v>1438</v>
      </c>
      <c r="G517" s="99"/>
      <c r="I517" s="54">
        <v>6.426877173170191E-3</v>
      </c>
      <c r="J517" s="99">
        <v>114815.36214968823</v>
      </c>
      <c r="K517" s="58">
        <f t="shared" si="27"/>
        <v>0.11481536214968822</v>
      </c>
      <c r="R517" s="176"/>
      <c r="S517" s="176">
        <f t="shared" si="26"/>
        <v>6.4268771731701908E-9</v>
      </c>
      <c r="T517" s="54" t="s">
        <v>849</v>
      </c>
      <c r="U517" s="54" t="s">
        <v>62</v>
      </c>
      <c r="V517" s="54" t="s">
        <v>62</v>
      </c>
      <c r="W517" s="54" t="s">
        <v>1468</v>
      </c>
    </row>
    <row r="518" spans="1:23" x14ac:dyDescent="0.35">
      <c r="A518" s="54">
        <v>193</v>
      </c>
      <c r="B518" s="99" t="s">
        <v>62</v>
      </c>
      <c r="C518" s="54" t="s">
        <v>662</v>
      </c>
      <c r="D518" s="54" t="s">
        <v>847</v>
      </c>
      <c r="E518" s="130" t="s">
        <v>919</v>
      </c>
      <c r="F518" s="54" t="s">
        <v>1438</v>
      </c>
      <c r="G518" s="99"/>
      <c r="I518" s="54">
        <v>6.441692655151772E-3</v>
      </c>
      <c r="J518" s="99">
        <v>117489.75549395311</v>
      </c>
      <c r="K518" s="58">
        <f t="shared" si="27"/>
        <v>0.11748975549395312</v>
      </c>
      <c r="R518" s="176"/>
      <c r="S518" s="176">
        <f t="shared" si="26"/>
        <v>6.4416926551517722E-9</v>
      </c>
      <c r="T518" s="54" t="s">
        <v>849</v>
      </c>
      <c r="U518" s="54" t="s">
        <v>62</v>
      </c>
      <c r="V518" s="54" t="s">
        <v>62</v>
      </c>
      <c r="W518" s="54" t="s">
        <v>1468</v>
      </c>
    </row>
    <row r="519" spans="1:23" x14ac:dyDescent="0.35">
      <c r="A519" s="54">
        <v>194</v>
      </c>
      <c r="B519" s="99" t="s">
        <v>62</v>
      </c>
      <c r="C519" s="54" t="s">
        <v>662</v>
      </c>
      <c r="D519" s="54" t="s">
        <v>847</v>
      </c>
      <c r="E519" s="130" t="s">
        <v>930</v>
      </c>
      <c r="F519" s="54" t="s">
        <v>1438</v>
      </c>
      <c r="G519" s="99"/>
      <c r="I519" s="54">
        <v>6.441692655151772E-3</v>
      </c>
      <c r="J519" s="99">
        <v>251188.64315095844</v>
      </c>
      <c r="K519" s="58">
        <f t="shared" si="27"/>
        <v>0.25118864315095846</v>
      </c>
      <c r="R519" s="176"/>
      <c r="S519" s="176">
        <f t="shared" si="26"/>
        <v>6.4416926551517722E-9</v>
      </c>
      <c r="T519" s="54" t="s">
        <v>849</v>
      </c>
      <c r="U519" s="54" t="s">
        <v>62</v>
      </c>
      <c r="V519" s="54" t="s">
        <v>62</v>
      </c>
      <c r="W519" s="54" t="s">
        <v>1468</v>
      </c>
    </row>
    <row r="520" spans="1:23" x14ac:dyDescent="0.35">
      <c r="A520" s="54">
        <v>195</v>
      </c>
      <c r="B520" s="99" t="s">
        <v>62</v>
      </c>
      <c r="C520" s="54" t="s">
        <v>662</v>
      </c>
      <c r="D520" s="54" t="s">
        <v>847</v>
      </c>
      <c r="E520" s="130" t="s">
        <v>946</v>
      </c>
      <c r="F520" s="54" t="s">
        <v>1438</v>
      </c>
      <c r="G520" s="99"/>
      <c r="I520" s="54">
        <v>6.441692655151772E-3</v>
      </c>
      <c r="J520" s="99">
        <v>117489.75549395311</v>
      </c>
      <c r="K520" s="58">
        <f t="shared" si="27"/>
        <v>0.11748975549395312</v>
      </c>
      <c r="R520" s="176"/>
      <c r="S520" s="176">
        <f t="shared" ref="S520:S536" si="28">I520/POWER(10,6)</f>
        <v>6.4416926551517722E-9</v>
      </c>
      <c r="T520" s="54" t="s">
        <v>849</v>
      </c>
      <c r="U520" s="54" t="s">
        <v>62</v>
      </c>
      <c r="V520" s="54" t="s">
        <v>62</v>
      </c>
      <c r="W520" s="54" t="s">
        <v>1468</v>
      </c>
    </row>
    <row r="521" spans="1:23" x14ac:dyDescent="0.35">
      <c r="A521" s="54">
        <v>196</v>
      </c>
      <c r="B521" s="99" t="s">
        <v>62</v>
      </c>
      <c r="C521" s="54" t="s">
        <v>662</v>
      </c>
      <c r="D521" s="54" t="s">
        <v>848</v>
      </c>
      <c r="E521" s="130" t="s">
        <v>964</v>
      </c>
      <c r="F521" s="54" t="s">
        <v>1434</v>
      </c>
      <c r="G521" s="99"/>
      <c r="I521" s="54">
        <v>6.441692655151772E-3</v>
      </c>
      <c r="J521" s="99">
        <v>501187.23362727347</v>
      </c>
      <c r="K521" s="58">
        <f t="shared" si="27"/>
        <v>0.50118723362727347</v>
      </c>
      <c r="R521" s="176"/>
      <c r="S521" s="176">
        <f t="shared" si="28"/>
        <v>6.4416926551517722E-9</v>
      </c>
      <c r="T521" s="54" t="s">
        <v>849</v>
      </c>
      <c r="U521" s="54" t="s">
        <v>62</v>
      </c>
      <c r="V521" s="54" t="s">
        <v>62</v>
      </c>
      <c r="W521" s="54" t="s">
        <v>1468</v>
      </c>
    </row>
    <row r="522" spans="1:23" x14ac:dyDescent="0.35">
      <c r="A522" s="54">
        <v>197</v>
      </c>
      <c r="B522" s="99" t="s">
        <v>62</v>
      </c>
      <c r="C522" s="54" t="s">
        <v>662</v>
      </c>
      <c r="D522" s="54" t="s">
        <v>847</v>
      </c>
      <c r="E522" s="130" t="s">
        <v>914</v>
      </c>
      <c r="F522" s="54" t="s">
        <v>1438</v>
      </c>
      <c r="G522" s="99"/>
      <c r="I522" s="54">
        <v>6.5162839406084257E-3</v>
      </c>
      <c r="J522" s="99">
        <v>144543.97707459307</v>
      </c>
      <c r="K522" s="58">
        <f t="shared" si="27"/>
        <v>0.14454397707459307</v>
      </c>
      <c r="R522" s="176"/>
      <c r="S522" s="176">
        <f t="shared" si="28"/>
        <v>6.516283940608426E-9</v>
      </c>
      <c r="T522" s="54" t="s">
        <v>849</v>
      </c>
      <c r="U522" s="54" t="s">
        <v>62</v>
      </c>
      <c r="V522" s="54" t="s">
        <v>62</v>
      </c>
      <c r="W522" s="54" t="s">
        <v>1468</v>
      </c>
    </row>
    <row r="523" spans="1:23" x14ac:dyDescent="0.35">
      <c r="A523" s="54">
        <v>198</v>
      </c>
      <c r="B523" s="99" t="s">
        <v>62</v>
      </c>
      <c r="C523" s="54" t="s">
        <v>662</v>
      </c>
      <c r="D523" s="54" t="s">
        <v>847</v>
      </c>
      <c r="E523" s="130" t="s">
        <v>936</v>
      </c>
      <c r="F523" s="54" t="s">
        <v>1438</v>
      </c>
      <c r="G523" s="99"/>
      <c r="I523" s="54">
        <v>6.5917389524432117E-3</v>
      </c>
      <c r="J523" s="99">
        <v>151356.12484362084</v>
      </c>
      <c r="K523" s="58">
        <f t="shared" si="27"/>
        <v>0.15135612484362085</v>
      </c>
      <c r="R523" s="176"/>
      <c r="S523" s="176">
        <f t="shared" si="28"/>
        <v>6.5917389524432118E-9</v>
      </c>
      <c r="T523" s="54" t="s">
        <v>849</v>
      </c>
      <c r="U523" s="54" t="s">
        <v>62</v>
      </c>
      <c r="V523" s="54" t="s">
        <v>62</v>
      </c>
      <c r="W523" s="54" t="s">
        <v>1468</v>
      </c>
    </row>
    <row r="524" spans="1:23" x14ac:dyDescent="0.35">
      <c r="A524" s="54">
        <v>199</v>
      </c>
      <c r="B524" s="99" t="s">
        <v>62</v>
      </c>
      <c r="C524" s="54" t="s">
        <v>662</v>
      </c>
      <c r="D524" s="54" t="s">
        <v>847</v>
      </c>
      <c r="E524" s="130" t="s">
        <v>939</v>
      </c>
      <c r="F524" s="54" t="s">
        <v>1438</v>
      </c>
      <c r="G524" s="99"/>
      <c r="I524" s="54">
        <v>6.6069344800759565E-3</v>
      </c>
      <c r="J524" s="99">
        <v>151356.12484362084</v>
      </c>
      <c r="K524" s="58">
        <f t="shared" si="27"/>
        <v>0.15135612484362085</v>
      </c>
      <c r="R524" s="176"/>
      <c r="S524" s="176">
        <f t="shared" si="28"/>
        <v>6.6069344800759568E-9</v>
      </c>
      <c r="T524" s="54" t="s">
        <v>849</v>
      </c>
      <c r="U524" s="54" t="s">
        <v>62</v>
      </c>
      <c r="V524" s="54" t="s">
        <v>62</v>
      </c>
      <c r="W524" s="54" t="s">
        <v>1468</v>
      </c>
    </row>
    <row r="525" spans="1:23" x14ac:dyDescent="0.35">
      <c r="A525" s="54">
        <v>200</v>
      </c>
      <c r="B525" s="99" t="s">
        <v>62</v>
      </c>
      <c r="C525" s="54" t="s">
        <v>662</v>
      </c>
      <c r="D525" s="54" t="s">
        <v>847</v>
      </c>
      <c r="E525" s="130" t="s">
        <v>927</v>
      </c>
      <c r="F525" s="54" t="s">
        <v>1438</v>
      </c>
      <c r="G525" s="99"/>
      <c r="I525" s="54">
        <v>6.7452802769792106E-3</v>
      </c>
      <c r="J525" s="99">
        <v>194984.45997580473</v>
      </c>
      <c r="K525" s="58">
        <f t="shared" si="27"/>
        <v>0.19498445997580471</v>
      </c>
      <c r="R525" s="176"/>
      <c r="S525" s="176">
        <f t="shared" si="28"/>
        <v>6.7452802769792105E-9</v>
      </c>
      <c r="T525" s="54" t="s">
        <v>849</v>
      </c>
      <c r="U525" s="54" t="s">
        <v>62</v>
      </c>
      <c r="V525" s="54" t="s">
        <v>62</v>
      </c>
      <c r="W525" s="54" t="s">
        <v>1468</v>
      </c>
    </row>
    <row r="526" spans="1:23" x14ac:dyDescent="0.35">
      <c r="A526" s="54">
        <v>201</v>
      </c>
      <c r="B526" s="99" t="s">
        <v>62</v>
      </c>
      <c r="C526" s="54" t="s">
        <v>662</v>
      </c>
      <c r="D526" s="54" t="s">
        <v>848</v>
      </c>
      <c r="E526" s="130" t="s">
        <v>971</v>
      </c>
      <c r="F526" s="54" t="s">
        <v>1434</v>
      </c>
      <c r="G526" s="99"/>
      <c r="I526" s="54">
        <v>6.7764150761067459E-3</v>
      </c>
      <c r="J526" s="99">
        <v>1122018.4543019643</v>
      </c>
      <c r="K526" s="58">
        <f t="shared" si="27"/>
        <v>1.1220184543019642</v>
      </c>
      <c r="R526" s="176"/>
      <c r="S526" s="176">
        <f t="shared" si="28"/>
        <v>6.7764150761067463E-9</v>
      </c>
      <c r="T526" s="54" t="s">
        <v>849</v>
      </c>
      <c r="U526" s="54" t="s">
        <v>62</v>
      </c>
      <c r="V526" s="54" t="s">
        <v>62</v>
      </c>
      <c r="W526" s="54" t="s">
        <v>1468</v>
      </c>
    </row>
    <row r="527" spans="1:23" x14ac:dyDescent="0.35">
      <c r="A527" s="54">
        <v>202</v>
      </c>
      <c r="B527" s="99" t="s">
        <v>62</v>
      </c>
      <c r="C527" s="54" t="s">
        <v>662</v>
      </c>
      <c r="D527" s="54" t="s">
        <v>847</v>
      </c>
      <c r="E527" s="130" t="s">
        <v>928</v>
      </c>
      <c r="F527" s="54" t="s">
        <v>1438</v>
      </c>
      <c r="G527" s="99"/>
      <c r="I527" s="54">
        <v>6.9023980384024155E-3</v>
      </c>
      <c r="J527" s="99">
        <v>245470.89156850305</v>
      </c>
      <c r="K527" s="58">
        <f t="shared" si="27"/>
        <v>0.24547089156850305</v>
      </c>
      <c r="R527" s="176"/>
      <c r="S527" s="176">
        <f t="shared" si="28"/>
        <v>6.9023980384024156E-9</v>
      </c>
      <c r="T527" s="54" t="s">
        <v>849</v>
      </c>
      <c r="U527" s="54" t="s">
        <v>62</v>
      </c>
      <c r="V527" s="54" t="s">
        <v>62</v>
      </c>
      <c r="W527" s="54" t="s">
        <v>1468</v>
      </c>
    </row>
    <row r="528" spans="1:23" x14ac:dyDescent="0.35">
      <c r="A528" s="54">
        <v>203</v>
      </c>
      <c r="B528" s="99" t="s">
        <v>62</v>
      </c>
      <c r="C528" s="54" t="s">
        <v>662</v>
      </c>
      <c r="D528" s="54" t="s">
        <v>847</v>
      </c>
      <c r="E528" s="130" t="s">
        <v>935</v>
      </c>
      <c r="F528" s="54" t="s">
        <v>1438</v>
      </c>
      <c r="G528" s="99"/>
      <c r="I528" s="54">
        <v>6.9023980384024155E-3</v>
      </c>
      <c r="J528" s="99">
        <v>245470.89156850305</v>
      </c>
      <c r="K528" s="58">
        <f t="shared" si="27"/>
        <v>0.24547089156850305</v>
      </c>
      <c r="R528" s="176"/>
      <c r="S528" s="176">
        <f t="shared" si="28"/>
        <v>6.9023980384024156E-9</v>
      </c>
      <c r="T528" s="54" t="s">
        <v>849</v>
      </c>
      <c r="U528" s="54" t="s">
        <v>62</v>
      </c>
      <c r="V528" s="54" t="s">
        <v>62</v>
      </c>
      <c r="W528" s="54" t="s">
        <v>1468</v>
      </c>
    </row>
    <row r="529" spans="1:23" x14ac:dyDescent="0.35">
      <c r="A529" s="54">
        <v>204</v>
      </c>
      <c r="B529" s="99" t="s">
        <v>62</v>
      </c>
      <c r="C529" s="54" t="s">
        <v>662</v>
      </c>
      <c r="D529" s="54" t="s">
        <v>847</v>
      </c>
      <c r="E529" s="130" t="s">
        <v>940</v>
      </c>
      <c r="F529" s="54" t="s">
        <v>1438</v>
      </c>
      <c r="G529" s="99"/>
      <c r="I529" s="54">
        <v>6.9023980384024155E-3</v>
      </c>
      <c r="J529" s="99">
        <v>245470.89156850305</v>
      </c>
      <c r="K529" s="58">
        <f t="shared" si="27"/>
        <v>0.24547089156850305</v>
      </c>
      <c r="R529" s="176"/>
      <c r="S529" s="176">
        <f t="shared" si="28"/>
        <v>6.9023980384024156E-9</v>
      </c>
      <c r="T529" s="54" t="s">
        <v>849</v>
      </c>
      <c r="U529" s="54" t="s">
        <v>62</v>
      </c>
      <c r="V529" s="54" t="s">
        <v>62</v>
      </c>
      <c r="W529" s="54" t="s">
        <v>1468</v>
      </c>
    </row>
    <row r="530" spans="1:23" x14ac:dyDescent="0.35">
      <c r="A530" s="54">
        <v>205</v>
      </c>
      <c r="B530" s="99" t="s">
        <v>62</v>
      </c>
      <c r="C530" s="54" t="s">
        <v>662</v>
      </c>
      <c r="D530" s="54" t="s">
        <v>847</v>
      </c>
      <c r="E530" s="130" t="s">
        <v>934</v>
      </c>
      <c r="F530" s="54" t="s">
        <v>1438</v>
      </c>
      <c r="G530" s="99"/>
      <c r="I530" s="54">
        <v>7.0145529841997125E-3</v>
      </c>
      <c r="J530" s="99">
        <v>288403.1503126609</v>
      </c>
      <c r="K530" s="58">
        <f t="shared" si="27"/>
        <v>0.28840315031266089</v>
      </c>
      <c r="R530" s="176"/>
      <c r="S530" s="176">
        <f t="shared" si="28"/>
        <v>7.0145529841997122E-9</v>
      </c>
      <c r="T530" s="54" t="s">
        <v>849</v>
      </c>
      <c r="U530" s="54" t="s">
        <v>62</v>
      </c>
      <c r="V530" s="54" t="s">
        <v>62</v>
      </c>
      <c r="W530" s="54" t="s">
        <v>1468</v>
      </c>
    </row>
    <row r="531" spans="1:23" x14ac:dyDescent="0.35">
      <c r="A531" s="54">
        <v>206</v>
      </c>
      <c r="B531" s="99" t="s">
        <v>62</v>
      </c>
      <c r="C531" s="54" t="s">
        <v>662</v>
      </c>
      <c r="D531" s="54" t="s">
        <v>847</v>
      </c>
      <c r="E531" s="130" t="s">
        <v>931</v>
      </c>
      <c r="F531" s="54" t="s">
        <v>1438</v>
      </c>
      <c r="G531" s="99"/>
      <c r="I531" s="54">
        <v>7.0631755426296162E-3</v>
      </c>
      <c r="J531" s="99">
        <v>316227.7660168382</v>
      </c>
      <c r="K531" s="58">
        <f t="shared" ref="K531:K562" si="29">J531/POWER(10,6)</f>
        <v>0.31622776601683822</v>
      </c>
      <c r="R531" s="176"/>
      <c r="S531" s="176">
        <f t="shared" si="28"/>
        <v>7.0631755426296163E-9</v>
      </c>
      <c r="T531" s="54" t="s">
        <v>849</v>
      </c>
      <c r="U531" s="54" t="s">
        <v>62</v>
      </c>
      <c r="V531" s="54" t="s">
        <v>62</v>
      </c>
      <c r="W531" s="54" t="s">
        <v>1468</v>
      </c>
    </row>
    <row r="532" spans="1:23" x14ac:dyDescent="0.35">
      <c r="A532" s="54">
        <v>207</v>
      </c>
      <c r="B532" s="99" t="s">
        <v>62</v>
      </c>
      <c r="C532" s="54" t="s">
        <v>662</v>
      </c>
      <c r="D532" s="54" t="s">
        <v>847</v>
      </c>
      <c r="E532" s="130" t="s">
        <v>920</v>
      </c>
      <c r="F532" s="54" t="s">
        <v>1441</v>
      </c>
      <c r="G532" s="99"/>
      <c r="I532" s="54">
        <v>7.2610595743515388E-3</v>
      </c>
      <c r="J532" s="99">
        <v>426579.51880159322</v>
      </c>
      <c r="K532" s="58">
        <f t="shared" si="29"/>
        <v>0.42657951880159323</v>
      </c>
      <c r="R532" s="176"/>
      <c r="S532" s="176">
        <f t="shared" si="28"/>
        <v>7.2610595743515392E-9</v>
      </c>
      <c r="T532" s="54" t="s">
        <v>849</v>
      </c>
      <c r="U532" s="54" t="s">
        <v>62</v>
      </c>
      <c r="V532" s="54" t="s">
        <v>62</v>
      </c>
      <c r="W532" s="54" t="s">
        <v>1468</v>
      </c>
    </row>
    <row r="533" spans="1:23" x14ac:dyDescent="0.35">
      <c r="A533" s="54">
        <v>208</v>
      </c>
      <c r="B533" s="99" t="s">
        <v>62</v>
      </c>
      <c r="C533" s="54" t="s">
        <v>662</v>
      </c>
      <c r="D533" s="54" t="s">
        <v>847</v>
      </c>
      <c r="E533" s="130" t="s">
        <v>932</v>
      </c>
      <c r="F533" s="54" t="s">
        <v>1438</v>
      </c>
      <c r="G533" s="99"/>
      <c r="I533" s="54">
        <v>7.3282453313890349E-3</v>
      </c>
      <c r="J533" s="99">
        <v>467735.14128719864</v>
      </c>
      <c r="K533" s="58">
        <f t="shared" si="29"/>
        <v>0.46773514128719862</v>
      </c>
      <c r="R533" s="176"/>
      <c r="S533" s="176">
        <f t="shared" si="28"/>
        <v>7.3282453313890351E-9</v>
      </c>
      <c r="T533" s="54" t="s">
        <v>849</v>
      </c>
      <c r="U533" s="54" t="s">
        <v>62</v>
      </c>
      <c r="V533" s="54" t="s">
        <v>62</v>
      </c>
      <c r="W533" s="54" t="s">
        <v>1468</v>
      </c>
    </row>
    <row r="534" spans="1:23" x14ac:dyDescent="0.35">
      <c r="A534" s="54">
        <v>209</v>
      </c>
      <c r="B534" s="99" t="s">
        <v>62</v>
      </c>
      <c r="C534" s="54" t="s">
        <v>662</v>
      </c>
      <c r="D534" s="54" t="s">
        <v>848</v>
      </c>
      <c r="E534" s="130" t="s">
        <v>988</v>
      </c>
      <c r="F534" s="54" t="s">
        <v>1434</v>
      </c>
      <c r="G534" s="99"/>
      <c r="I534" s="54">
        <v>7.7983011052325888E-3</v>
      </c>
      <c r="J534" s="99">
        <v>4677351.4128719913</v>
      </c>
      <c r="K534" s="58">
        <f t="shared" si="29"/>
        <v>4.6773514128719915</v>
      </c>
      <c r="R534" s="176"/>
      <c r="S534" s="176">
        <f t="shared" si="28"/>
        <v>7.7983011052325888E-9</v>
      </c>
      <c r="T534" s="54" t="s">
        <v>849</v>
      </c>
      <c r="U534" s="54" t="s">
        <v>62</v>
      </c>
      <c r="V534" s="54" t="s">
        <v>62</v>
      </c>
      <c r="W534" s="54" t="s">
        <v>1468</v>
      </c>
    </row>
    <row r="535" spans="1:23" x14ac:dyDescent="0.35">
      <c r="A535" s="54">
        <v>210</v>
      </c>
      <c r="B535" s="99" t="s">
        <v>62</v>
      </c>
      <c r="C535" s="54" t="s">
        <v>662</v>
      </c>
      <c r="D535" s="54" t="s">
        <v>848</v>
      </c>
      <c r="E535" s="130" t="s">
        <v>1016</v>
      </c>
      <c r="F535" s="54" t="s">
        <v>1434</v>
      </c>
      <c r="G535" s="99"/>
      <c r="I535" s="54">
        <v>8.0909589917838153E-3</v>
      </c>
      <c r="J535" s="99">
        <v>8511380.382023776</v>
      </c>
      <c r="K535" s="58">
        <f t="shared" si="29"/>
        <v>8.5113803820237752</v>
      </c>
      <c r="R535" s="176"/>
      <c r="S535" s="176">
        <f t="shared" si="28"/>
        <v>8.0909589917838148E-9</v>
      </c>
      <c r="T535" s="54" t="s">
        <v>849</v>
      </c>
      <c r="U535" s="54" t="s">
        <v>62</v>
      </c>
      <c r="V535" s="54" t="s">
        <v>62</v>
      </c>
      <c r="W535" s="54" t="s">
        <v>1468</v>
      </c>
    </row>
    <row r="536" spans="1:23" x14ac:dyDescent="0.35">
      <c r="A536" s="54">
        <v>211</v>
      </c>
      <c r="B536" s="99" t="s">
        <v>62</v>
      </c>
      <c r="C536" s="54" t="s">
        <v>662</v>
      </c>
      <c r="D536" s="54" t="s">
        <v>848</v>
      </c>
      <c r="E536" s="130" t="s">
        <v>989</v>
      </c>
      <c r="F536" s="54" t="s">
        <v>1434</v>
      </c>
      <c r="G536" s="99"/>
      <c r="I536" s="54">
        <v>8.3945998651939711E-3</v>
      </c>
      <c r="J536" s="99">
        <v>12302687.708123812</v>
      </c>
      <c r="K536" s="58">
        <f t="shared" si="29"/>
        <v>12.302687708123813</v>
      </c>
      <c r="R536" s="176"/>
      <c r="S536" s="176">
        <f t="shared" si="28"/>
        <v>8.3945998651939719E-9</v>
      </c>
      <c r="T536" s="54" t="s">
        <v>849</v>
      </c>
      <c r="U536" s="54" t="s">
        <v>62</v>
      </c>
      <c r="V536" s="54" t="s">
        <v>62</v>
      </c>
      <c r="W536" s="54" t="s">
        <v>1468</v>
      </c>
    </row>
    <row r="537" spans="1:23" x14ac:dyDescent="0.35">
      <c r="A537" s="54">
        <v>564</v>
      </c>
      <c r="B537" s="99" t="s">
        <v>62</v>
      </c>
      <c r="C537" s="54" t="s">
        <v>1494</v>
      </c>
      <c r="D537" s="54" t="s">
        <v>1392</v>
      </c>
      <c r="E537" s="130" t="s">
        <v>1534</v>
      </c>
      <c r="F537" s="54" t="s">
        <v>62</v>
      </c>
      <c r="R537" s="176"/>
      <c r="S537" s="176">
        <v>1.6280000000000001E-8</v>
      </c>
      <c r="T537" s="58" t="s">
        <v>1409</v>
      </c>
      <c r="U537" s="54" t="s">
        <v>20</v>
      </c>
      <c r="V537" s="54" t="s">
        <v>62</v>
      </c>
      <c r="W537" s="54" t="s">
        <v>1548</v>
      </c>
    </row>
    <row r="538" spans="1:23" x14ac:dyDescent="0.35">
      <c r="A538" s="54">
        <v>568</v>
      </c>
      <c r="B538" s="99" t="s">
        <v>62</v>
      </c>
      <c r="C538" s="54" t="s">
        <v>1494</v>
      </c>
      <c r="D538" s="54" t="s">
        <v>1399</v>
      </c>
      <c r="E538" s="130" t="s">
        <v>1538</v>
      </c>
      <c r="F538" s="54" t="s">
        <v>62</v>
      </c>
      <c r="R538" s="176"/>
      <c r="S538" s="176">
        <v>2.3800000000000001E-8</v>
      </c>
      <c r="T538" s="58" t="s">
        <v>1409</v>
      </c>
      <c r="U538" s="54" t="s">
        <v>20</v>
      </c>
      <c r="V538" s="54" t="s">
        <v>62</v>
      </c>
      <c r="W538" s="54" t="s">
        <v>1548</v>
      </c>
    </row>
    <row r="539" spans="1:23" x14ac:dyDescent="0.35">
      <c r="A539" s="54">
        <v>573</v>
      </c>
      <c r="B539" s="99" t="s">
        <v>62</v>
      </c>
      <c r="C539" s="54" t="s">
        <v>1494</v>
      </c>
      <c r="D539" s="54" t="s">
        <v>1403</v>
      </c>
      <c r="E539" s="130" t="s">
        <v>1543</v>
      </c>
      <c r="F539" s="54" t="s">
        <v>1466</v>
      </c>
      <c r="R539" s="176"/>
      <c r="S539" s="176">
        <v>8.4000000000000011E-7</v>
      </c>
      <c r="T539" s="58" t="s">
        <v>1409</v>
      </c>
      <c r="U539" s="54" t="s">
        <v>20</v>
      </c>
      <c r="V539" s="54" t="s">
        <v>62</v>
      </c>
      <c r="W539" s="54" t="s">
        <v>1548</v>
      </c>
    </row>
    <row r="540" spans="1:23" x14ac:dyDescent="0.35">
      <c r="A540" s="54">
        <v>575</v>
      </c>
      <c r="B540" s="99" t="s">
        <v>62</v>
      </c>
      <c r="C540" s="54" t="s">
        <v>1494</v>
      </c>
      <c r="D540" s="54" t="s">
        <v>1403</v>
      </c>
      <c r="E540" s="130" t="s">
        <v>1545</v>
      </c>
      <c r="F540" s="54" t="s">
        <v>1466</v>
      </c>
      <c r="R540" s="176"/>
      <c r="S540" s="176">
        <v>6.2999999999999998E-6</v>
      </c>
      <c r="T540" s="58" t="s">
        <v>1409</v>
      </c>
      <c r="U540" s="54" t="s">
        <v>20</v>
      </c>
      <c r="V540" s="54" t="s">
        <v>62</v>
      </c>
      <c r="W540" s="54" t="s">
        <v>1548</v>
      </c>
    </row>
    <row r="541" spans="1:23" x14ac:dyDescent="0.35">
      <c r="A541" s="54">
        <v>61</v>
      </c>
      <c r="B541" s="167" t="s">
        <v>62</v>
      </c>
      <c r="C541" s="54" t="s">
        <v>53</v>
      </c>
      <c r="D541" s="54" t="s">
        <v>53</v>
      </c>
      <c r="E541" s="130" t="s">
        <v>653</v>
      </c>
      <c r="F541" s="54" t="s">
        <v>62</v>
      </c>
      <c r="G541" s="99"/>
      <c r="R541" s="176"/>
      <c r="S541" s="176"/>
      <c r="T541" s="54" t="s">
        <v>649</v>
      </c>
      <c r="U541" s="50" t="s">
        <v>62</v>
      </c>
      <c r="V541" s="50" t="s">
        <v>62</v>
      </c>
      <c r="W541" s="50" t="s">
        <v>62</v>
      </c>
    </row>
    <row r="542" spans="1:23" x14ac:dyDescent="0.35">
      <c r="A542" s="54">
        <v>62</v>
      </c>
      <c r="B542" s="167" t="s">
        <v>62</v>
      </c>
      <c r="C542" s="54" t="s">
        <v>53</v>
      </c>
      <c r="D542" s="54" t="s">
        <v>1040</v>
      </c>
      <c r="E542" s="130" t="s">
        <v>652</v>
      </c>
      <c r="F542" s="54" t="s">
        <v>1425</v>
      </c>
      <c r="G542" s="99"/>
      <c r="R542" s="176"/>
      <c r="S542" s="176"/>
      <c r="T542" s="54" t="s">
        <v>572</v>
      </c>
      <c r="U542" s="50" t="s">
        <v>62</v>
      </c>
      <c r="V542" s="50" t="s">
        <v>62</v>
      </c>
      <c r="W542" s="50" t="s">
        <v>62</v>
      </c>
    </row>
    <row r="543" spans="1:23" x14ac:dyDescent="0.35">
      <c r="A543" s="54">
        <v>486</v>
      </c>
      <c r="B543" s="167" t="s">
        <v>62</v>
      </c>
      <c r="C543" s="54" t="s">
        <v>126</v>
      </c>
      <c r="D543" s="59" t="s">
        <v>127</v>
      </c>
      <c r="E543" s="130" t="s">
        <v>651</v>
      </c>
      <c r="F543" s="54" t="s">
        <v>1466</v>
      </c>
      <c r="G543" s="99"/>
      <c r="R543" s="176"/>
      <c r="S543" s="176"/>
      <c r="T543" s="54" t="s">
        <v>650</v>
      </c>
      <c r="U543" s="50" t="s">
        <v>62</v>
      </c>
      <c r="V543" s="50" t="s">
        <v>62</v>
      </c>
      <c r="W543" s="50" t="s">
        <v>62</v>
      </c>
    </row>
    <row r="544" spans="1:23" x14ac:dyDescent="0.35">
      <c r="A544" s="54">
        <v>67</v>
      </c>
      <c r="B544" s="99" t="s">
        <v>62</v>
      </c>
      <c r="C544" s="54" t="s">
        <v>53</v>
      </c>
      <c r="D544" s="54" t="s">
        <v>1301</v>
      </c>
      <c r="E544" s="130" t="s">
        <v>1560</v>
      </c>
      <c r="F544" s="54" t="s">
        <v>1426</v>
      </c>
      <c r="J544" s="137">
        <v>4.4187585749999991</v>
      </c>
      <c r="K544" s="58">
        <f t="shared" ref="K544:K558" si="30">J544/POWER(10,6)</f>
        <v>4.4187585749999993E-6</v>
      </c>
      <c r="Q544" s="58">
        <f t="shared" ref="Q544:Q558" si="31">V544*POWER(10,-9)</f>
        <v>2.0818923401735001E-12</v>
      </c>
      <c r="R544" s="176"/>
      <c r="S544" s="176"/>
      <c r="T544" s="54" t="s">
        <v>1349</v>
      </c>
      <c r="U544" s="54" t="s">
        <v>1350</v>
      </c>
      <c r="V544" s="58">
        <v>2.0818923401735002E-3</v>
      </c>
      <c r="W544" s="50" t="s">
        <v>1485</v>
      </c>
    </row>
    <row r="545" spans="1:23" x14ac:dyDescent="0.35">
      <c r="A545" s="54">
        <v>68</v>
      </c>
      <c r="B545" s="99" t="s">
        <v>62</v>
      </c>
      <c r="C545" s="54" t="s">
        <v>53</v>
      </c>
      <c r="D545" s="54" t="s">
        <v>1301</v>
      </c>
      <c r="E545" s="130" t="s">
        <v>1302</v>
      </c>
      <c r="F545" s="54" t="s">
        <v>1426</v>
      </c>
      <c r="J545" s="137">
        <v>0.9</v>
      </c>
      <c r="K545" s="58">
        <f t="shared" si="30"/>
        <v>9.0000000000000007E-7</v>
      </c>
      <c r="Q545" s="58">
        <f t="shared" si="31"/>
        <v>2.2000000000000002E-13</v>
      </c>
      <c r="R545" s="176"/>
      <c r="S545" s="176"/>
      <c r="T545" s="54" t="s">
        <v>1349</v>
      </c>
      <c r="U545" s="54" t="s">
        <v>1350</v>
      </c>
      <c r="V545" s="58">
        <v>2.2000000000000001E-4</v>
      </c>
      <c r="W545" s="50" t="s">
        <v>1485</v>
      </c>
    </row>
    <row r="546" spans="1:23" x14ac:dyDescent="0.35">
      <c r="A546" s="54">
        <v>69</v>
      </c>
      <c r="B546" s="99" t="s">
        <v>62</v>
      </c>
      <c r="C546" s="54" t="s">
        <v>53</v>
      </c>
      <c r="D546" s="54" t="s">
        <v>1301</v>
      </c>
      <c r="E546" s="130" t="s">
        <v>1303</v>
      </c>
      <c r="F546" s="54" t="s">
        <v>1427</v>
      </c>
      <c r="J546" s="137">
        <v>9.8000000000000004E-2</v>
      </c>
      <c r="K546" s="58">
        <f t="shared" si="30"/>
        <v>9.8000000000000004E-8</v>
      </c>
      <c r="Q546" s="58">
        <f t="shared" si="31"/>
        <v>5.4320613052637349E-14</v>
      </c>
      <c r="R546" s="176"/>
      <c r="S546" s="176"/>
      <c r="T546" s="54" t="s">
        <v>1349</v>
      </c>
      <c r="U546" s="54" t="s">
        <v>1350</v>
      </c>
      <c r="V546" s="58">
        <v>5.4320613052637343E-5</v>
      </c>
      <c r="W546" s="50" t="s">
        <v>1485</v>
      </c>
    </row>
    <row r="547" spans="1:23" x14ac:dyDescent="0.35">
      <c r="A547" s="54">
        <v>70</v>
      </c>
      <c r="B547" s="99" t="s">
        <v>62</v>
      </c>
      <c r="C547" s="54" t="s">
        <v>53</v>
      </c>
      <c r="D547" s="54" t="s">
        <v>1301</v>
      </c>
      <c r="E547" s="130" t="s">
        <v>1304</v>
      </c>
      <c r="F547" s="54" t="s">
        <v>1428</v>
      </c>
      <c r="J547" s="137">
        <v>2.508</v>
      </c>
      <c r="K547" s="58">
        <f t="shared" si="30"/>
        <v>2.508E-6</v>
      </c>
      <c r="Q547" s="58">
        <f t="shared" si="31"/>
        <v>2.744E-12</v>
      </c>
      <c r="R547" s="176"/>
      <c r="S547" s="176"/>
      <c r="T547" s="54" t="s">
        <v>1349</v>
      </c>
      <c r="U547" s="54" t="s">
        <v>1350</v>
      </c>
      <c r="V547" s="58">
        <v>2.7439999999999999E-3</v>
      </c>
      <c r="W547" s="50" t="s">
        <v>1485</v>
      </c>
    </row>
    <row r="548" spans="1:23" x14ac:dyDescent="0.35">
      <c r="A548" s="54">
        <v>71</v>
      </c>
      <c r="B548" s="99" t="s">
        <v>62</v>
      </c>
      <c r="C548" s="54" t="s">
        <v>53</v>
      </c>
      <c r="D548" s="54" t="s">
        <v>1301</v>
      </c>
      <c r="E548" s="130" t="s">
        <v>1114</v>
      </c>
      <c r="F548" s="54" t="s">
        <v>1412</v>
      </c>
      <c r="J548" s="137">
        <v>0.83399999999999996</v>
      </c>
      <c r="K548" s="58">
        <f t="shared" si="30"/>
        <v>8.3399999999999998E-7</v>
      </c>
      <c r="Q548" s="58">
        <f t="shared" si="31"/>
        <v>2.7999999999999997E-13</v>
      </c>
      <c r="R548" s="176"/>
      <c r="S548" s="176"/>
      <c r="T548" s="54" t="s">
        <v>1349</v>
      </c>
      <c r="U548" s="54" t="s">
        <v>1350</v>
      </c>
      <c r="V548" s="58">
        <v>2.7999999999999998E-4</v>
      </c>
      <c r="W548" s="50" t="s">
        <v>1485</v>
      </c>
    </row>
    <row r="549" spans="1:23" x14ac:dyDescent="0.35">
      <c r="A549" s="54">
        <v>72</v>
      </c>
      <c r="B549" s="99" t="s">
        <v>62</v>
      </c>
      <c r="C549" s="54" t="s">
        <v>53</v>
      </c>
      <c r="D549" s="54" t="s">
        <v>1301</v>
      </c>
      <c r="E549" s="130" t="s">
        <v>1305</v>
      </c>
      <c r="F549" s="54" t="s">
        <v>1429</v>
      </c>
      <c r="J549" s="137">
        <v>0.40300000000000002</v>
      </c>
      <c r="K549" s="58">
        <f t="shared" si="30"/>
        <v>4.0300000000000005E-7</v>
      </c>
      <c r="Q549" s="58">
        <f t="shared" si="31"/>
        <v>2.0000000000000003E-13</v>
      </c>
      <c r="R549" s="176"/>
      <c r="S549" s="176"/>
      <c r="T549" s="54" t="s">
        <v>1349</v>
      </c>
      <c r="U549" s="54" t="s">
        <v>1350</v>
      </c>
      <c r="V549" s="58">
        <v>2.0000000000000001E-4</v>
      </c>
      <c r="W549" s="50" t="s">
        <v>1485</v>
      </c>
    </row>
    <row r="550" spans="1:23" x14ac:dyDescent="0.35">
      <c r="A550" s="54">
        <v>73</v>
      </c>
      <c r="B550" s="99" t="s">
        <v>62</v>
      </c>
      <c r="C550" s="54" t="s">
        <v>53</v>
      </c>
      <c r="D550" s="54" t="s">
        <v>1301</v>
      </c>
      <c r="E550" s="130" t="s">
        <v>418</v>
      </c>
      <c r="F550" s="54" t="s">
        <v>1412</v>
      </c>
      <c r="J550" s="137">
        <v>0.67249999999999999</v>
      </c>
      <c r="K550" s="58">
        <f t="shared" si="30"/>
        <v>6.7250000000000002E-7</v>
      </c>
      <c r="Q550" s="58">
        <f t="shared" si="31"/>
        <v>3.2000000000000005E-13</v>
      </c>
      <c r="R550" s="176"/>
      <c r="S550" s="176"/>
      <c r="T550" s="54" t="s">
        <v>1349</v>
      </c>
      <c r="U550" s="54" t="s">
        <v>1350</v>
      </c>
      <c r="V550" s="58">
        <v>3.2000000000000003E-4</v>
      </c>
      <c r="W550" s="50" t="s">
        <v>1485</v>
      </c>
    </row>
    <row r="551" spans="1:23" x14ac:dyDescent="0.35">
      <c r="A551" s="54">
        <v>74</v>
      </c>
      <c r="B551" s="99" t="s">
        <v>62</v>
      </c>
      <c r="C551" s="54" t="s">
        <v>53</v>
      </c>
      <c r="D551" s="54" t="s">
        <v>1301</v>
      </c>
      <c r="E551" s="130" t="s">
        <v>1306</v>
      </c>
      <c r="F551" s="54" t="s">
        <v>1426</v>
      </c>
      <c r="J551" s="137">
        <v>1.31</v>
      </c>
      <c r="K551" s="58">
        <f t="shared" si="30"/>
        <v>1.31E-6</v>
      </c>
      <c r="Q551" s="58">
        <f t="shared" si="31"/>
        <v>3.79E-13</v>
      </c>
      <c r="R551" s="176"/>
      <c r="S551" s="176"/>
      <c r="T551" s="54" t="s">
        <v>1349</v>
      </c>
      <c r="U551" s="54" t="s">
        <v>1350</v>
      </c>
      <c r="V551" s="58">
        <v>3.79E-4</v>
      </c>
      <c r="W551" s="50" t="s">
        <v>1485</v>
      </c>
    </row>
    <row r="552" spans="1:23" x14ac:dyDescent="0.35">
      <c r="A552" s="54">
        <v>75</v>
      </c>
      <c r="B552" s="99" t="s">
        <v>62</v>
      </c>
      <c r="C552" s="54" t="s">
        <v>53</v>
      </c>
      <c r="D552" s="54" t="s">
        <v>1307</v>
      </c>
      <c r="E552" s="130" t="s">
        <v>1308</v>
      </c>
      <c r="F552" s="54" t="s">
        <v>1430</v>
      </c>
      <c r="J552" s="137">
        <v>36.835000000000001</v>
      </c>
      <c r="K552" s="58">
        <f t="shared" si="30"/>
        <v>3.6835000000000002E-5</v>
      </c>
      <c r="Q552" s="58">
        <f t="shared" si="31"/>
        <v>2.9204634472595335E-11</v>
      </c>
      <c r="R552" s="176"/>
      <c r="S552" s="176"/>
      <c r="T552" s="54" t="s">
        <v>1349</v>
      </c>
      <c r="U552" s="54" t="s">
        <v>1350</v>
      </c>
      <c r="V552" s="58">
        <v>2.9204634472595335E-2</v>
      </c>
      <c r="W552" s="50" t="s">
        <v>1485</v>
      </c>
    </row>
    <row r="553" spans="1:23" x14ac:dyDescent="0.35">
      <c r="A553" s="54">
        <v>76</v>
      </c>
      <c r="B553" s="99" t="s">
        <v>62</v>
      </c>
      <c r="C553" s="54" t="s">
        <v>53</v>
      </c>
      <c r="D553" s="54" t="s">
        <v>1307</v>
      </c>
      <c r="E553" s="130" t="s">
        <v>1309</v>
      </c>
      <c r="F553" s="54" t="s">
        <v>1430</v>
      </c>
      <c r="J553" s="137">
        <v>49.468000000000004</v>
      </c>
      <c r="K553" s="58">
        <f t="shared" si="30"/>
        <v>4.9468000000000001E-5</v>
      </c>
      <c r="Q553" s="58">
        <f t="shared" si="31"/>
        <v>2.1160278647179869E-11</v>
      </c>
      <c r="R553" s="176"/>
      <c r="S553" s="176"/>
      <c r="T553" s="54" t="s">
        <v>1349</v>
      </c>
      <c r="U553" s="54" t="s">
        <v>1350</v>
      </c>
      <c r="V553" s="58">
        <v>2.1160278647179866E-2</v>
      </c>
      <c r="W553" s="50" t="s">
        <v>1485</v>
      </c>
    </row>
    <row r="554" spans="1:23" x14ac:dyDescent="0.35">
      <c r="A554" s="54">
        <v>77</v>
      </c>
      <c r="B554" s="99" t="s">
        <v>62</v>
      </c>
      <c r="C554" s="54" t="s">
        <v>53</v>
      </c>
      <c r="D554" s="54" t="s">
        <v>1307</v>
      </c>
      <c r="E554" s="130" t="s">
        <v>1310</v>
      </c>
      <c r="F554" s="54" t="s">
        <v>1430</v>
      </c>
      <c r="J554" s="137">
        <v>65.433000000000007</v>
      </c>
      <c r="K554" s="58">
        <f t="shared" si="30"/>
        <v>6.5433000000000009E-5</v>
      </c>
      <c r="Q554" s="58">
        <f t="shared" si="31"/>
        <v>2.7678016475606425E-11</v>
      </c>
      <c r="R554" s="176"/>
      <c r="S554" s="176"/>
      <c r="T554" s="54" t="s">
        <v>1349</v>
      </c>
      <c r="U554" s="54" t="s">
        <v>1350</v>
      </c>
      <c r="V554" s="58">
        <v>2.7678016475606422E-2</v>
      </c>
      <c r="W554" s="50" t="s">
        <v>1485</v>
      </c>
    </row>
    <row r="555" spans="1:23" x14ac:dyDescent="0.35">
      <c r="A555" s="54">
        <v>78</v>
      </c>
      <c r="B555" s="99" t="s">
        <v>62</v>
      </c>
      <c r="C555" s="54" t="s">
        <v>53</v>
      </c>
      <c r="D555" s="54" t="s">
        <v>1307</v>
      </c>
      <c r="E555" s="130" t="s">
        <v>1311</v>
      </c>
      <c r="F555" s="54" t="s">
        <v>1430</v>
      </c>
      <c r="J555" s="137">
        <v>150</v>
      </c>
      <c r="K555" s="58">
        <f t="shared" si="30"/>
        <v>1.4999999999999999E-4</v>
      </c>
      <c r="Q555" s="58">
        <f t="shared" si="31"/>
        <v>4.3E-11</v>
      </c>
      <c r="R555" s="176"/>
      <c r="S555" s="176"/>
      <c r="T555" s="54" t="s">
        <v>1349</v>
      </c>
      <c r="U555" s="54" t="s">
        <v>1350</v>
      </c>
      <c r="V555" s="58">
        <v>4.2999999999999997E-2</v>
      </c>
      <c r="W555" s="50" t="s">
        <v>1485</v>
      </c>
    </row>
    <row r="556" spans="1:23" x14ac:dyDescent="0.35">
      <c r="A556" s="54">
        <v>79</v>
      </c>
      <c r="B556" s="99" t="s">
        <v>62</v>
      </c>
      <c r="C556" s="54" t="s">
        <v>53</v>
      </c>
      <c r="D556" s="54" t="s">
        <v>1307</v>
      </c>
      <c r="E556" s="130" t="s">
        <v>1312</v>
      </c>
      <c r="F556" s="54" t="s">
        <v>1431</v>
      </c>
      <c r="J556" s="137">
        <v>64.17</v>
      </c>
      <c r="K556" s="58">
        <f t="shared" si="30"/>
        <v>6.4170000000000004E-5</v>
      </c>
      <c r="Q556" s="58">
        <f t="shared" si="31"/>
        <v>1.7333333333333335E-11</v>
      </c>
      <c r="R556" s="176"/>
      <c r="S556" s="176"/>
      <c r="T556" s="54" t="s">
        <v>1349</v>
      </c>
      <c r="U556" s="54" t="s">
        <v>1350</v>
      </c>
      <c r="V556" s="58">
        <v>1.7333333333333333E-2</v>
      </c>
      <c r="W556" s="50" t="s">
        <v>1485</v>
      </c>
    </row>
    <row r="557" spans="1:23" x14ac:dyDescent="0.35">
      <c r="A557" s="54">
        <v>80</v>
      </c>
      <c r="B557" s="99" t="s">
        <v>62</v>
      </c>
      <c r="C557" s="54" t="s">
        <v>53</v>
      </c>
      <c r="D557" s="54" t="s">
        <v>1307</v>
      </c>
      <c r="E557" s="130" t="s">
        <v>1313</v>
      </c>
      <c r="F557" s="54" t="s">
        <v>1416</v>
      </c>
      <c r="J557" s="137">
        <v>0.13</v>
      </c>
      <c r="K557" s="58">
        <f t="shared" si="30"/>
        <v>1.3E-7</v>
      </c>
      <c r="Q557" s="58">
        <f t="shared" si="31"/>
        <v>1.5500000000000002E-13</v>
      </c>
      <c r="R557" s="176"/>
      <c r="S557" s="176"/>
      <c r="T557" s="54" t="s">
        <v>1349</v>
      </c>
      <c r="U557" s="54" t="s">
        <v>1350</v>
      </c>
      <c r="V557" s="58">
        <v>1.55E-4</v>
      </c>
      <c r="W557" s="50" t="s">
        <v>1485</v>
      </c>
    </row>
    <row r="558" spans="1:23" x14ac:dyDescent="0.35">
      <c r="A558" s="54">
        <v>81</v>
      </c>
      <c r="B558" s="99" t="s">
        <v>62</v>
      </c>
      <c r="C558" s="54" t="s">
        <v>53</v>
      </c>
      <c r="D558" s="54" t="s">
        <v>1307</v>
      </c>
      <c r="E558" s="130" t="s">
        <v>1314</v>
      </c>
      <c r="F558" s="54" t="s">
        <v>1432</v>
      </c>
      <c r="J558" s="137">
        <v>0.4</v>
      </c>
      <c r="K558" s="58">
        <f t="shared" si="30"/>
        <v>4.0000000000000003E-7</v>
      </c>
      <c r="Q558" s="58">
        <f t="shared" si="31"/>
        <v>3.2000000000000005E-13</v>
      </c>
      <c r="R558" s="176"/>
      <c r="S558" s="176"/>
      <c r="T558" s="54" t="s">
        <v>1349</v>
      </c>
      <c r="U558" s="54" t="s">
        <v>1350</v>
      </c>
      <c r="V558" s="58">
        <v>3.2000000000000003E-4</v>
      </c>
      <c r="W558" s="50" t="s">
        <v>1485</v>
      </c>
    </row>
    <row r="559" spans="1:23" x14ac:dyDescent="0.35">
      <c r="A559" s="54">
        <v>505</v>
      </c>
      <c r="B559" s="167" t="s">
        <v>62</v>
      </c>
      <c r="C559" s="50" t="s">
        <v>1023</v>
      </c>
      <c r="D559" s="50" t="s">
        <v>699</v>
      </c>
      <c r="E559" s="131" t="s">
        <v>402</v>
      </c>
      <c r="F559" s="54" t="s">
        <v>1445</v>
      </c>
      <c r="G559" s="139"/>
      <c r="H559" s="52"/>
      <c r="I559" s="84"/>
      <c r="J559" s="60"/>
      <c r="K559" s="84"/>
      <c r="L559" s="84"/>
      <c r="M559" s="52"/>
      <c r="N559" s="52"/>
      <c r="O559" s="84"/>
      <c r="P559" s="52"/>
      <c r="Q559" s="52"/>
      <c r="R559" s="176"/>
      <c r="S559" s="177"/>
      <c r="T559" s="50" t="s">
        <v>447</v>
      </c>
      <c r="U559" s="50" t="s">
        <v>1549</v>
      </c>
      <c r="V559" s="50">
        <v>1.0689800000000001E-4</v>
      </c>
      <c r="W559" s="50" t="s">
        <v>403</v>
      </c>
    </row>
    <row r="560" spans="1:23" x14ac:dyDescent="0.35">
      <c r="A560" s="54">
        <v>506</v>
      </c>
      <c r="B560" s="167" t="s">
        <v>62</v>
      </c>
      <c r="C560" s="50" t="s">
        <v>1023</v>
      </c>
      <c r="D560" s="50" t="s">
        <v>700</v>
      </c>
      <c r="E560" s="131" t="s">
        <v>404</v>
      </c>
      <c r="F560" s="54" t="s">
        <v>62</v>
      </c>
      <c r="G560" s="139"/>
      <c r="H560" s="52"/>
      <c r="I560" s="84"/>
      <c r="J560" s="60"/>
      <c r="K560" s="84"/>
      <c r="L560" s="84"/>
      <c r="M560" s="52"/>
      <c r="N560" s="52"/>
      <c r="O560" s="84"/>
      <c r="P560" s="52"/>
      <c r="Q560" s="52"/>
      <c r="R560" s="176"/>
      <c r="S560" s="177"/>
      <c r="T560" s="50" t="s">
        <v>447</v>
      </c>
      <c r="U560" s="50" t="s">
        <v>1549</v>
      </c>
      <c r="V560" s="50">
        <v>1.4999999999999999E-4</v>
      </c>
      <c r="W560" s="50" t="s">
        <v>403</v>
      </c>
    </row>
    <row r="561" spans="1:23" x14ac:dyDescent="0.35">
      <c r="A561" s="54">
        <v>507</v>
      </c>
      <c r="B561" s="167" t="s">
        <v>62</v>
      </c>
      <c r="C561" s="50" t="s">
        <v>1023</v>
      </c>
      <c r="D561" s="54" t="s">
        <v>339</v>
      </c>
      <c r="E561" s="131" t="s">
        <v>1030</v>
      </c>
      <c r="F561" s="54" t="s">
        <v>1466</v>
      </c>
      <c r="G561" s="139"/>
      <c r="H561" s="52"/>
      <c r="I561" s="84"/>
      <c r="J561" s="60"/>
      <c r="K561" s="84"/>
      <c r="L561" s="84"/>
      <c r="M561" s="52"/>
      <c r="N561" s="52"/>
      <c r="O561" s="84"/>
      <c r="P561" s="52"/>
      <c r="Q561" s="52"/>
      <c r="R561" s="176"/>
      <c r="S561" s="177"/>
      <c r="T561" s="50" t="s">
        <v>447</v>
      </c>
      <c r="U561" s="50" t="s">
        <v>56</v>
      </c>
      <c r="V561" s="50">
        <v>1.4500000000000001E-2</v>
      </c>
      <c r="W561" s="50" t="s">
        <v>403</v>
      </c>
    </row>
    <row r="562" spans="1:23" x14ac:dyDescent="0.35">
      <c r="A562" s="54">
        <v>508</v>
      </c>
      <c r="B562" s="167" t="s">
        <v>62</v>
      </c>
      <c r="C562" s="50" t="s">
        <v>1023</v>
      </c>
      <c r="D562" s="54" t="s">
        <v>339</v>
      </c>
      <c r="E562" s="131" t="s">
        <v>1031</v>
      </c>
      <c r="F562" s="54" t="s">
        <v>1466</v>
      </c>
      <c r="G562" s="139"/>
      <c r="H562" s="52"/>
      <c r="I562" s="84"/>
      <c r="J562" s="60"/>
      <c r="K562" s="84"/>
      <c r="L562" s="84"/>
      <c r="M562" s="52"/>
      <c r="N562" s="52"/>
      <c r="O562" s="84"/>
      <c r="P562" s="52"/>
      <c r="Q562" s="52"/>
      <c r="R562" s="176"/>
      <c r="S562" s="177"/>
      <c r="T562" s="50" t="s">
        <v>447</v>
      </c>
      <c r="U562" s="50" t="s">
        <v>56</v>
      </c>
      <c r="V562" s="50">
        <v>8.1199999999999987E-3</v>
      </c>
      <c r="W562" s="50" t="s">
        <v>403</v>
      </c>
    </row>
    <row r="563" spans="1:23" x14ac:dyDescent="0.35">
      <c r="A563" s="54">
        <v>509</v>
      </c>
      <c r="B563" s="167" t="s">
        <v>62</v>
      </c>
      <c r="C563" s="50" t="s">
        <v>1023</v>
      </c>
      <c r="D563" s="59" t="s">
        <v>1032</v>
      </c>
      <c r="E563" s="131" t="s">
        <v>1033</v>
      </c>
      <c r="F563" s="54" t="s">
        <v>1466</v>
      </c>
      <c r="G563" s="139"/>
      <c r="H563" s="52"/>
      <c r="I563" s="84"/>
      <c r="J563" s="60"/>
      <c r="K563" s="84"/>
      <c r="L563" s="84"/>
      <c r="M563" s="52"/>
      <c r="N563" s="52"/>
      <c r="O563" s="84"/>
      <c r="P563" s="52"/>
      <c r="Q563" s="52"/>
      <c r="R563" s="176"/>
      <c r="S563" s="177"/>
      <c r="T563" s="50" t="s">
        <v>447</v>
      </c>
      <c r="U563" s="50" t="s">
        <v>56</v>
      </c>
      <c r="V563" s="50">
        <v>3.09E-2</v>
      </c>
      <c r="W563" s="50" t="s">
        <v>403</v>
      </c>
    </row>
    <row r="564" spans="1:23" x14ac:dyDescent="0.35">
      <c r="A564" s="54">
        <v>510</v>
      </c>
      <c r="B564" s="167" t="s">
        <v>62</v>
      </c>
      <c r="C564" s="50" t="s">
        <v>1023</v>
      </c>
      <c r="D564" s="50" t="s">
        <v>699</v>
      </c>
      <c r="E564" s="131" t="s">
        <v>111</v>
      </c>
      <c r="F564" s="54" t="s">
        <v>1434</v>
      </c>
      <c r="G564" s="139"/>
      <c r="H564" s="52"/>
      <c r="I564" s="84"/>
      <c r="J564" s="60"/>
      <c r="K564" s="84"/>
      <c r="L564" s="84"/>
      <c r="M564" s="52"/>
      <c r="N564" s="52"/>
      <c r="O564" s="84"/>
      <c r="P564" s="52"/>
      <c r="Q564" s="52"/>
      <c r="R564" s="176"/>
      <c r="S564" s="177"/>
      <c r="T564" s="50" t="s">
        <v>447</v>
      </c>
      <c r="U564" s="50" t="s">
        <v>1549</v>
      </c>
      <c r="V564" s="50">
        <v>1.0088110000000001E-2</v>
      </c>
      <c r="W564" s="50" t="s">
        <v>403</v>
      </c>
    </row>
    <row r="565" spans="1:23" x14ac:dyDescent="0.35">
      <c r="A565" s="54">
        <v>511</v>
      </c>
      <c r="B565" s="167" t="s">
        <v>62</v>
      </c>
      <c r="C565" s="50" t="s">
        <v>1023</v>
      </c>
      <c r="D565" s="50" t="s">
        <v>700</v>
      </c>
      <c r="E565" s="131" t="s">
        <v>405</v>
      </c>
      <c r="F565" s="54" t="s">
        <v>1466</v>
      </c>
      <c r="G565" s="139"/>
      <c r="H565" s="52"/>
      <c r="I565" s="84"/>
      <c r="J565" s="60"/>
      <c r="K565" s="84"/>
      <c r="L565" s="84"/>
      <c r="M565" s="52"/>
      <c r="N565" s="52"/>
      <c r="O565" s="84"/>
      <c r="P565" s="52"/>
      <c r="Q565" s="52"/>
      <c r="R565" s="176"/>
      <c r="S565" s="177"/>
      <c r="T565" s="50" t="s">
        <v>447</v>
      </c>
      <c r="U565" s="50" t="s">
        <v>56</v>
      </c>
      <c r="V565" s="50">
        <v>2.8400000000000002E-2</v>
      </c>
      <c r="W565" s="50" t="s">
        <v>403</v>
      </c>
    </row>
    <row r="566" spans="1:23" x14ac:dyDescent="0.35">
      <c r="A566" s="54">
        <v>512</v>
      </c>
      <c r="B566" s="167" t="s">
        <v>62</v>
      </c>
      <c r="C566" s="50" t="s">
        <v>1023</v>
      </c>
      <c r="D566" s="50" t="s">
        <v>868</v>
      </c>
      <c r="E566" s="131" t="s">
        <v>65</v>
      </c>
      <c r="F566" s="54" t="s">
        <v>62</v>
      </c>
      <c r="G566" s="99"/>
      <c r="J566" s="60"/>
      <c r="K566" s="84"/>
      <c r="L566" s="58">
        <f>N566*POWER(10,6)</f>
        <v>1.0000000000000001E-7</v>
      </c>
      <c r="M566" s="58">
        <f>N566*POWER(10,3)</f>
        <v>1E-10</v>
      </c>
      <c r="N566" s="54">
        <v>1E-13</v>
      </c>
      <c r="P566" s="52"/>
      <c r="Q566" s="52"/>
      <c r="R566" s="177"/>
      <c r="S566" s="177"/>
      <c r="T566" s="50" t="s">
        <v>57</v>
      </c>
      <c r="U566" s="50" t="s">
        <v>62</v>
      </c>
      <c r="V566" s="50" t="s">
        <v>62</v>
      </c>
      <c r="W566" s="50" t="s">
        <v>62</v>
      </c>
    </row>
    <row r="567" spans="1:23" x14ac:dyDescent="0.35">
      <c r="A567" s="54">
        <v>513</v>
      </c>
      <c r="B567" s="167" t="s">
        <v>62</v>
      </c>
      <c r="C567" s="50" t="s">
        <v>1023</v>
      </c>
      <c r="D567" s="50" t="s">
        <v>868</v>
      </c>
      <c r="E567" s="131" t="s">
        <v>95</v>
      </c>
      <c r="F567" s="54" t="s">
        <v>62</v>
      </c>
      <c r="G567" s="99"/>
      <c r="J567" s="60"/>
      <c r="K567" s="84"/>
      <c r="L567" s="58">
        <f>N567*POWER(10,6)</f>
        <v>1E-4</v>
      </c>
      <c r="M567" s="58">
        <f>N567*POWER(10,3)</f>
        <v>1.0000000000000001E-7</v>
      </c>
      <c r="N567" s="54">
        <v>1E-10</v>
      </c>
      <c r="P567" s="52"/>
      <c r="Q567" s="52"/>
      <c r="R567" s="177"/>
      <c r="S567" s="177"/>
      <c r="T567" s="50" t="s">
        <v>57</v>
      </c>
      <c r="U567" s="50" t="s">
        <v>62</v>
      </c>
      <c r="V567" s="50" t="s">
        <v>62</v>
      </c>
      <c r="W567" s="50" t="s">
        <v>62</v>
      </c>
    </row>
    <row r="568" spans="1:23" x14ac:dyDescent="0.35">
      <c r="A568" s="54">
        <v>514</v>
      </c>
      <c r="B568" s="167" t="s">
        <v>62</v>
      </c>
      <c r="C568" s="50" t="s">
        <v>1023</v>
      </c>
      <c r="D568" s="50" t="s">
        <v>406</v>
      </c>
      <c r="E568" s="131" t="s">
        <v>407</v>
      </c>
      <c r="F568" s="54" t="s">
        <v>62</v>
      </c>
      <c r="G568" s="138"/>
      <c r="H568" s="52"/>
      <c r="I568" s="84"/>
      <c r="J568" s="60"/>
      <c r="K568" s="84"/>
      <c r="L568" s="84"/>
      <c r="M568" s="52"/>
      <c r="N568" s="52"/>
      <c r="O568" s="84"/>
      <c r="P568" s="52"/>
      <c r="Q568" s="52"/>
      <c r="R568" s="177"/>
      <c r="S568" s="177"/>
      <c r="T568" s="50" t="s">
        <v>35</v>
      </c>
      <c r="U568" s="50" t="s">
        <v>408</v>
      </c>
      <c r="W568" s="50" t="s">
        <v>1049</v>
      </c>
    </row>
    <row r="569" spans="1:23" x14ac:dyDescent="0.35">
      <c r="A569" s="54">
        <v>515</v>
      </c>
      <c r="B569" s="167" t="s">
        <v>62</v>
      </c>
      <c r="C569" s="50" t="s">
        <v>1023</v>
      </c>
      <c r="D569" s="54" t="s">
        <v>654</v>
      </c>
      <c r="E569" s="130" t="s">
        <v>655</v>
      </c>
      <c r="F569" s="54" t="s">
        <v>62</v>
      </c>
      <c r="R569" s="176"/>
      <c r="S569" s="176"/>
      <c r="T569" s="54" t="s">
        <v>1257</v>
      </c>
      <c r="U569" s="50" t="s">
        <v>62</v>
      </c>
      <c r="V569" s="50" t="s">
        <v>62</v>
      </c>
      <c r="W569" s="50" t="s">
        <v>62</v>
      </c>
    </row>
    <row r="570" spans="1:23" x14ac:dyDescent="0.35">
      <c r="A570" s="54">
        <v>516</v>
      </c>
      <c r="B570" s="167" t="s">
        <v>62</v>
      </c>
      <c r="C570" s="50" t="s">
        <v>1023</v>
      </c>
      <c r="D570" s="50" t="s">
        <v>699</v>
      </c>
      <c r="E570" s="130" t="s">
        <v>1288</v>
      </c>
      <c r="F570" s="54" t="s">
        <v>1465</v>
      </c>
      <c r="R570" s="176"/>
      <c r="S570" s="176"/>
      <c r="T570" s="54" t="s">
        <v>1289</v>
      </c>
      <c r="U570" s="54" t="s">
        <v>1038</v>
      </c>
      <c r="V570" s="54">
        <v>2.5</v>
      </c>
      <c r="W570" s="50" t="s">
        <v>62</v>
      </c>
    </row>
    <row r="571" spans="1:23" x14ac:dyDescent="0.35">
      <c r="A571" s="54">
        <v>517</v>
      </c>
      <c r="B571" s="167" t="s">
        <v>62</v>
      </c>
      <c r="C571" s="50" t="s">
        <v>1023</v>
      </c>
      <c r="D571" s="50" t="s">
        <v>699</v>
      </c>
      <c r="E571" s="130" t="s">
        <v>1290</v>
      </c>
      <c r="F571" s="54" t="s">
        <v>1440</v>
      </c>
      <c r="R571" s="176"/>
      <c r="S571" s="176"/>
      <c r="T571" s="54" t="s">
        <v>1289</v>
      </c>
      <c r="U571" s="54" t="s">
        <v>1038</v>
      </c>
      <c r="V571" s="54">
        <v>73</v>
      </c>
      <c r="W571" s="50" t="s">
        <v>62</v>
      </c>
    </row>
    <row r="572" spans="1:23" x14ac:dyDescent="0.35">
      <c r="A572" s="54">
        <v>518</v>
      </c>
      <c r="B572" s="99" t="s">
        <v>62</v>
      </c>
      <c r="C572" s="50" t="s">
        <v>1023</v>
      </c>
      <c r="D572" s="54" t="s">
        <v>654</v>
      </c>
      <c r="E572" s="130" t="s">
        <v>1300</v>
      </c>
      <c r="F572" s="54" t="s">
        <v>62</v>
      </c>
      <c r="R572" s="176"/>
      <c r="S572" s="176"/>
      <c r="T572" s="54" t="s">
        <v>1296</v>
      </c>
      <c r="U572" s="54" t="s">
        <v>1295</v>
      </c>
      <c r="V572" s="54" t="s">
        <v>62</v>
      </c>
      <c r="W572" s="50" t="s">
        <v>62</v>
      </c>
    </row>
    <row r="573" spans="1:23" x14ac:dyDescent="0.35">
      <c r="A573" s="54">
        <v>541</v>
      </c>
      <c r="B573" s="99" t="s">
        <v>62</v>
      </c>
      <c r="C573" s="54" t="s">
        <v>53</v>
      </c>
      <c r="D573" s="54" t="s">
        <v>53</v>
      </c>
      <c r="E573" s="130" t="s">
        <v>1511</v>
      </c>
      <c r="F573" s="54" t="s">
        <v>62</v>
      </c>
      <c r="R573" s="176"/>
      <c r="S573" s="178"/>
      <c r="T573" s="58" t="s">
        <v>1409</v>
      </c>
      <c r="U573" s="54" t="s">
        <v>20</v>
      </c>
      <c r="V573" s="55">
        <v>1.672583925E-8</v>
      </c>
      <c r="W573" s="58" t="s">
        <v>1495</v>
      </c>
    </row>
    <row r="574" spans="1:23" x14ac:dyDescent="0.35">
      <c r="A574" s="54">
        <v>560</v>
      </c>
      <c r="B574" s="99" t="s">
        <v>62</v>
      </c>
      <c r="C574" s="54" t="s">
        <v>1494</v>
      </c>
      <c r="D574" s="54" t="s">
        <v>1392</v>
      </c>
      <c r="E574" s="130" t="s">
        <v>1530</v>
      </c>
      <c r="F574" s="54" t="s">
        <v>62</v>
      </c>
      <c r="R574" s="176"/>
      <c r="S574" s="176"/>
      <c r="T574" s="58" t="s">
        <v>1409</v>
      </c>
      <c r="U574" s="54" t="s">
        <v>20</v>
      </c>
      <c r="V574" s="55">
        <v>6.8199999999999999E-7</v>
      </c>
      <c r="W574" s="58" t="s">
        <v>1495</v>
      </c>
    </row>
    <row r="575" spans="1:23" x14ac:dyDescent="0.35">
      <c r="T575" s="58"/>
    </row>
    <row r="576" spans="1:23" x14ac:dyDescent="0.35">
      <c r="T576" s="58"/>
    </row>
    <row r="577" spans="20:20" x14ac:dyDescent="0.35">
      <c r="T577" s="58"/>
    </row>
    <row r="578" spans="20:20" x14ac:dyDescent="0.35">
      <c r="T578" s="58"/>
    </row>
    <row r="579" spans="20:20" x14ac:dyDescent="0.35">
      <c r="T579" s="58"/>
    </row>
    <row r="580" spans="20:20" x14ac:dyDescent="0.35">
      <c r="T580" s="58"/>
    </row>
    <row r="581" spans="20:20" x14ac:dyDescent="0.35">
      <c r="T581" s="58"/>
    </row>
    <row r="582" spans="20:20" x14ac:dyDescent="0.35">
      <c r="T582" s="58"/>
    </row>
    <row r="583" spans="20:20" x14ac:dyDescent="0.35">
      <c r="T583" s="58"/>
    </row>
    <row r="584" spans="20:20" x14ac:dyDescent="0.35">
      <c r="T584" s="58"/>
    </row>
    <row r="585" spans="20:20" x14ac:dyDescent="0.35">
      <c r="T585" s="58"/>
    </row>
    <row r="586" spans="20:20" x14ac:dyDescent="0.35">
      <c r="T586" s="58"/>
    </row>
    <row r="587" spans="20:20" x14ac:dyDescent="0.35">
      <c r="T587" s="58"/>
    </row>
    <row r="588" spans="20:20" x14ac:dyDescent="0.35">
      <c r="T588" s="58"/>
    </row>
    <row r="589" spans="20:20" x14ac:dyDescent="0.35">
      <c r="T589" s="58"/>
    </row>
    <row r="590" spans="20:20" x14ac:dyDescent="0.35">
      <c r="T590" s="58"/>
    </row>
    <row r="591" spans="20:20" x14ac:dyDescent="0.35">
      <c r="T591" s="58"/>
    </row>
    <row r="592" spans="20:20" x14ac:dyDescent="0.35">
      <c r="T592" s="58"/>
    </row>
  </sheetData>
  <sortState xmlns:xlrd2="http://schemas.microsoft.com/office/spreadsheetml/2017/richdata2" ref="A2:W592">
    <sortCondition ref="B2:B592"/>
    <sortCondition ref="S2:S592"/>
  </sortState>
  <phoneticPr fontId="4" type="noConversion"/>
  <hyperlinks>
    <hyperlink ref="T148" r:id="rId1" xr:uid="{D93E6AE6-929E-4D88-91AD-F0A33ED830FE}"/>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6D537-C953-45E5-9DDB-BCBDFD80D8FC}">
  <dimension ref="A3:AB46"/>
  <sheetViews>
    <sheetView workbookViewId="0"/>
  </sheetViews>
  <sheetFormatPr defaultRowHeight="14.5" x14ac:dyDescent="0.35"/>
  <cols>
    <col min="1" max="1" width="14.26953125" bestFit="1" customWidth="1"/>
    <col min="2" max="2" width="8.54296875" style="2" bestFit="1" customWidth="1"/>
    <col min="3" max="3" width="1.54296875" style="2" bestFit="1" customWidth="1"/>
    <col min="4" max="4" width="5.26953125" style="2" bestFit="1" customWidth="1"/>
    <col min="5" max="5" width="2.1796875" style="2" bestFit="1" customWidth="1"/>
    <col min="6" max="6" width="2.1796875" style="2" customWidth="1"/>
    <col min="7" max="7" width="8.54296875" style="2" bestFit="1" customWidth="1"/>
    <col min="8" max="8" width="1.54296875" style="2" bestFit="1" customWidth="1"/>
    <col min="9" max="9" width="22.453125" style="2" customWidth="1"/>
    <col min="10" max="10" width="2.1796875" style="2" bestFit="1" customWidth="1"/>
    <col min="11" max="11" width="2.1796875" style="2" customWidth="1"/>
    <col min="12" max="12" width="8.54296875" style="2" bestFit="1" customWidth="1"/>
    <col min="13" max="13" width="1.54296875" style="2" bestFit="1" customWidth="1"/>
    <col min="14" max="14" width="6.54296875" style="2" bestFit="1" customWidth="1"/>
    <col min="15" max="15" width="2.1796875" style="2" customWidth="1"/>
    <col min="16" max="16" width="1.81640625" style="2" customWidth="1"/>
    <col min="17" max="17" width="9" style="2" bestFit="1" customWidth="1"/>
    <col min="18" max="18" width="3.81640625" style="2" bestFit="1" customWidth="1"/>
    <col min="19" max="19" width="5.26953125" style="2" bestFit="1" customWidth="1"/>
    <col min="20" max="20" width="2.1796875" style="2" bestFit="1" customWidth="1"/>
    <col min="21" max="21" width="5.26953125" style="2" bestFit="1" customWidth="1"/>
    <col min="22" max="22" width="2.1796875" style="2" bestFit="1" customWidth="1"/>
    <col min="23" max="23" width="8.7265625" style="2"/>
    <col min="24" max="24" width="19.1796875" style="2" bestFit="1" customWidth="1"/>
    <col min="28" max="28" width="10.81640625" bestFit="1" customWidth="1"/>
  </cols>
  <sheetData>
    <row r="3" spans="1:28" s="19" customFormat="1" ht="24" x14ac:dyDescent="0.35">
      <c r="B3" s="188" t="s">
        <v>164</v>
      </c>
      <c r="C3" s="189"/>
      <c r="D3" s="189"/>
      <c r="E3" s="190"/>
      <c r="F3" s="20"/>
      <c r="G3" s="191" t="s">
        <v>165</v>
      </c>
      <c r="H3" s="192"/>
      <c r="I3" s="192"/>
      <c r="J3" s="193"/>
      <c r="K3" s="40"/>
      <c r="L3" s="188" t="s">
        <v>166</v>
      </c>
      <c r="M3" s="189"/>
      <c r="N3" s="189"/>
      <c r="O3" s="190"/>
      <c r="P3" s="20"/>
      <c r="Q3" s="188" t="s">
        <v>167</v>
      </c>
      <c r="R3" s="189"/>
      <c r="S3" s="189"/>
      <c r="T3" s="189"/>
      <c r="U3" s="189"/>
      <c r="V3" s="190"/>
      <c r="W3" s="20"/>
      <c r="X3" s="21" t="s">
        <v>168</v>
      </c>
      <c r="Z3" s="22" t="s">
        <v>169</v>
      </c>
      <c r="AA3" s="27" t="s">
        <v>170</v>
      </c>
    </row>
    <row r="4" spans="1:28" x14ac:dyDescent="0.35">
      <c r="B4" s="179"/>
      <c r="C4" s="180"/>
      <c r="D4" s="180"/>
      <c r="E4" s="181"/>
      <c r="G4" s="185"/>
      <c r="H4" s="186"/>
      <c r="I4" s="186"/>
      <c r="J4" s="187"/>
      <c r="K4" s="41"/>
      <c r="L4" s="179"/>
      <c r="M4" s="180"/>
      <c r="N4" s="180"/>
      <c r="O4" s="181"/>
      <c r="Q4" s="179"/>
      <c r="R4" s="180"/>
      <c r="S4" s="180"/>
      <c r="T4" s="180"/>
      <c r="U4" s="180"/>
      <c r="V4" s="181"/>
      <c r="X4" s="22"/>
      <c r="Z4" s="22">
        <v>0.02</v>
      </c>
      <c r="AA4" s="22">
        <f>LOG(Z4)</f>
        <v>-1.6989700043360187</v>
      </c>
      <c r="AB4" s="36"/>
    </row>
    <row r="5" spans="1:28" x14ac:dyDescent="0.35">
      <c r="A5" s="2"/>
      <c r="B5" s="22" t="s">
        <v>171</v>
      </c>
      <c r="C5" s="22" t="s">
        <v>172</v>
      </c>
      <c r="D5" s="22" t="s">
        <v>173</v>
      </c>
      <c r="E5" s="22" t="s">
        <v>174</v>
      </c>
      <c r="G5" s="24" t="s">
        <v>171</v>
      </c>
      <c r="H5" s="24" t="s">
        <v>172</v>
      </c>
      <c r="I5" s="35">
        <f>POWER(10,-3)</f>
        <v>1E-3</v>
      </c>
      <c r="J5" s="24" t="s">
        <v>174</v>
      </c>
      <c r="K5" s="41"/>
      <c r="L5" s="23" t="s">
        <v>171</v>
      </c>
      <c r="M5" s="23" t="s">
        <v>172</v>
      </c>
      <c r="N5" s="23">
        <f>POWER(10,-3)</f>
        <v>1E-3</v>
      </c>
      <c r="O5" s="23" t="s">
        <v>174</v>
      </c>
      <c r="Q5" s="22" t="s">
        <v>171</v>
      </c>
      <c r="R5" s="22" t="s">
        <v>175</v>
      </c>
      <c r="S5" s="22" t="s">
        <v>173</v>
      </c>
      <c r="T5" s="22" t="s">
        <v>176</v>
      </c>
      <c r="U5" s="22">
        <v>1</v>
      </c>
      <c r="V5" s="22" t="s">
        <v>174</v>
      </c>
      <c r="X5" s="22">
        <f>LOG(I5)</f>
        <v>-3</v>
      </c>
      <c r="Z5" s="22">
        <v>0.2</v>
      </c>
      <c r="AA5" s="22">
        <f t="shared" ref="AA5:AA17" si="0">LOG(Z5)</f>
        <v>-0.69897000433601875</v>
      </c>
      <c r="AB5" s="36"/>
    </row>
    <row r="6" spans="1:28" x14ac:dyDescent="0.35">
      <c r="A6" s="2"/>
      <c r="B6" s="22" t="s">
        <v>177</v>
      </c>
      <c r="C6" s="22" t="s">
        <v>172</v>
      </c>
      <c r="D6" s="22" t="s">
        <v>178</v>
      </c>
      <c r="E6" s="22" t="s">
        <v>174</v>
      </c>
      <c r="G6" s="24" t="s">
        <v>177</v>
      </c>
      <c r="H6" s="24" t="s">
        <v>172</v>
      </c>
      <c r="I6" s="34">
        <f>I5/1000</f>
        <v>9.9999999999999995E-7</v>
      </c>
      <c r="J6" s="24" t="s">
        <v>174</v>
      </c>
      <c r="K6" s="41"/>
      <c r="L6" s="23" t="s">
        <v>177</v>
      </c>
      <c r="M6" s="23" t="s">
        <v>172</v>
      </c>
      <c r="N6" s="23">
        <f>N5/1000</f>
        <v>9.9999999999999995E-7</v>
      </c>
      <c r="O6" s="23" t="s">
        <v>174</v>
      </c>
      <c r="Q6" s="22" t="s">
        <v>177</v>
      </c>
      <c r="R6" s="22" t="s">
        <v>175</v>
      </c>
      <c r="S6" s="22" t="s">
        <v>178</v>
      </c>
      <c r="T6" s="22" t="s">
        <v>176</v>
      </c>
      <c r="U6" s="22" t="s">
        <v>173</v>
      </c>
      <c r="V6" s="22" t="s">
        <v>174</v>
      </c>
      <c r="X6" s="22">
        <f t="shared" ref="X6:X11" si="1">LOG(I6)</f>
        <v>-6</v>
      </c>
      <c r="Z6" s="22">
        <v>2</v>
      </c>
      <c r="AA6" s="22">
        <f t="shared" si="0"/>
        <v>0.3010299956639812</v>
      </c>
      <c r="AB6" s="36"/>
    </row>
    <row r="7" spans="1:28" x14ac:dyDescent="0.35">
      <c r="A7" s="2"/>
      <c r="B7" s="22" t="s">
        <v>179</v>
      </c>
      <c r="C7" s="22" t="s">
        <v>172</v>
      </c>
      <c r="D7" s="22" t="s">
        <v>180</v>
      </c>
      <c r="E7" s="22" t="s">
        <v>174</v>
      </c>
      <c r="G7" s="24" t="s">
        <v>179</v>
      </c>
      <c r="H7" s="24" t="s">
        <v>172</v>
      </c>
      <c r="I7" s="33">
        <f t="shared" ref="I7:I12" si="2">I6/1000</f>
        <v>9.9999999999999986E-10</v>
      </c>
      <c r="J7" s="24" t="s">
        <v>174</v>
      </c>
      <c r="K7" s="41"/>
      <c r="L7" s="23" t="s">
        <v>179</v>
      </c>
      <c r="M7" s="23" t="s">
        <v>172</v>
      </c>
      <c r="N7" s="23">
        <f t="shared" ref="N7:N12" si="3">N6/1000</f>
        <v>9.9999999999999986E-10</v>
      </c>
      <c r="O7" s="23" t="s">
        <v>174</v>
      </c>
      <c r="Q7" s="22" t="s">
        <v>179</v>
      </c>
      <c r="R7" s="22" t="s">
        <v>175</v>
      </c>
      <c r="S7" s="22" t="s">
        <v>180</v>
      </c>
      <c r="T7" s="22" t="s">
        <v>176</v>
      </c>
      <c r="U7" s="22" t="s">
        <v>178</v>
      </c>
      <c r="V7" s="22" t="s">
        <v>174</v>
      </c>
      <c r="X7" s="22">
        <f t="shared" si="1"/>
        <v>-9</v>
      </c>
      <c r="Z7" s="22">
        <v>20</v>
      </c>
      <c r="AA7" s="22">
        <f t="shared" si="0"/>
        <v>1.3010299956639813</v>
      </c>
      <c r="AB7" s="36"/>
    </row>
    <row r="8" spans="1:28" x14ac:dyDescent="0.35">
      <c r="A8" s="2"/>
      <c r="B8" s="22" t="s">
        <v>181</v>
      </c>
      <c r="C8" s="22" t="s">
        <v>172</v>
      </c>
      <c r="D8" s="22" t="s">
        <v>182</v>
      </c>
      <c r="E8" s="22" t="s">
        <v>174</v>
      </c>
      <c r="G8" s="24" t="s">
        <v>181</v>
      </c>
      <c r="H8" s="24" t="s">
        <v>172</v>
      </c>
      <c r="I8" s="32">
        <f t="shared" si="2"/>
        <v>9.9999999999999978E-13</v>
      </c>
      <c r="J8" s="24" t="s">
        <v>174</v>
      </c>
      <c r="K8" s="41"/>
      <c r="L8" s="23" t="s">
        <v>181</v>
      </c>
      <c r="M8" s="23" t="s">
        <v>172</v>
      </c>
      <c r="N8" s="23">
        <f t="shared" si="3"/>
        <v>9.9999999999999978E-13</v>
      </c>
      <c r="O8" s="23" t="s">
        <v>174</v>
      </c>
      <c r="Q8" s="22" t="s">
        <v>181</v>
      </c>
      <c r="R8" s="22" t="s">
        <v>175</v>
      </c>
      <c r="S8" s="22" t="s">
        <v>182</v>
      </c>
      <c r="T8" s="22" t="s">
        <v>176</v>
      </c>
      <c r="U8" s="22" t="s">
        <v>180</v>
      </c>
      <c r="V8" s="22" t="s">
        <v>174</v>
      </c>
      <c r="X8" s="22">
        <f t="shared" si="1"/>
        <v>-12</v>
      </c>
      <c r="Z8" s="22">
        <v>200</v>
      </c>
      <c r="AA8" s="22">
        <f t="shared" si="0"/>
        <v>2.3010299956639813</v>
      </c>
      <c r="AB8" s="36"/>
    </row>
    <row r="9" spans="1:28" x14ac:dyDescent="0.35">
      <c r="A9" s="2"/>
      <c r="B9" s="22" t="s">
        <v>183</v>
      </c>
      <c r="C9" s="22" t="s">
        <v>172</v>
      </c>
      <c r="D9" s="22" t="s">
        <v>184</v>
      </c>
      <c r="E9" s="22" t="s">
        <v>174</v>
      </c>
      <c r="G9" s="24" t="s">
        <v>183</v>
      </c>
      <c r="H9" s="24" t="s">
        <v>172</v>
      </c>
      <c r="I9" s="31">
        <f t="shared" si="2"/>
        <v>9.9999999999999968E-16</v>
      </c>
      <c r="J9" s="24" t="s">
        <v>174</v>
      </c>
      <c r="K9" s="41"/>
      <c r="L9" s="23" t="s">
        <v>183</v>
      </c>
      <c r="M9" s="23" t="s">
        <v>172</v>
      </c>
      <c r="N9" s="23">
        <f t="shared" si="3"/>
        <v>9.9999999999999968E-16</v>
      </c>
      <c r="O9" s="23" t="s">
        <v>174</v>
      </c>
      <c r="Q9" s="22" t="s">
        <v>183</v>
      </c>
      <c r="R9" s="22" t="s">
        <v>175</v>
      </c>
      <c r="S9" s="22" t="s">
        <v>184</v>
      </c>
      <c r="T9" s="22" t="s">
        <v>176</v>
      </c>
      <c r="U9" s="22" t="s">
        <v>182</v>
      </c>
      <c r="V9" s="22" t="s">
        <v>174</v>
      </c>
      <c r="X9" s="22">
        <f t="shared" si="1"/>
        <v>-15</v>
      </c>
      <c r="Z9" s="22">
        <v>2000</v>
      </c>
      <c r="AA9" s="22">
        <f t="shared" si="0"/>
        <v>3.3010299956639813</v>
      </c>
      <c r="AB9" s="36"/>
    </row>
    <row r="10" spans="1:28" x14ac:dyDescent="0.35">
      <c r="A10" s="2"/>
      <c r="B10" s="22" t="s">
        <v>185</v>
      </c>
      <c r="C10" s="22" t="s">
        <v>172</v>
      </c>
      <c r="D10" s="22" t="s">
        <v>186</v>
      </c>
      <c r="E10" s="22" t="s">
        <v>174</v>
      </c>
      <c r="G10" s="24" t="s">
        <v>185</v>
      </c>
      <c r="H10" s="24" t="s">
        <v>172</v>
      </c>
      <c r="I10" s="30">
        <f t="shared" si="2"/>
        <v>9.9999999999999969E-19</v>
      </c>
      <c r="J10" s="24" t="s">
        <v>174</v>
      </c>
      <c r="K10" s="41"/>
      <c r="L10" s="23" t="s">
        <v>185</v>
      </c>
      <c r="M10" s="23" t="s">
        <v>172</v>
      </c>
      <c r="N10" s="23">
        <f t="shared" si="3"/>
        <v>9.9999999999999969E-19</v>
      </c>
      <c r="O10" s="23" t="s">
        <v>174</v>
      </c>
      <c r="Q10" s="22" t="s">
        <v>185</v>
      </c>
      <c r="R10" s="22" t="s">
        <v>175</v>
      </c>
      <c r="S10" s="22" t="s">
        <v>186</v>
      </c>
      <c r="T10" s="22" t="s">
        <v>176</v>
      </c>
      <c r="U10" s="22" t="s">
        <v>184</v>
      </c>
      <c r="V10" s="22" t="s">
        <v>174</v>
      </c>
      <c r="X10" s="22">
        <f t="shared" si="1"/>
        <v>-18</v>
      </c>
      <c r="Z10" s="22">
        <v>1</v>
      </c>
      <c r="AA10" s="22">
        <f t="shared" si="0"/>
        <v>0</v>
      </c>
    </row>
    <row r="11" spans="1:28" x14ac:dyDescent="0.35">
      <c r="A11" s="2"/>
      <c r="B11" s="22" t="s">
        <v>187</v>
      </c>
      <c r="C11" s="22" t="s">
        <v>172</v>
      </c>
      <c r="D11" s="22" t="s">
        <v>188</v>
      </c>
      <c r="E11" s="22" t="s">
        <v>174</v>
      </c>
      <c r="G11" s="24" t="s">
        <v>187</v>
      </c>
      <c r="H11" s="24" t="s">
        <v>172</v>
      </c>
      <c r="I11" s="24">
        <f t="shared" si="2"/>
        <v>9.9999999999999972E-22</v>
      </c>
      <c r="J11" s="24" t="s">
        <v>174</v>
      </c>
      <c r="K11" s="41"/>
      <c r="L11" s="23" t="s">
        <v>187</v>
      </c>
      <c r="M11" s="23" t="s">
        <v>172</v>
      </c>
      <c r="N11" s="23">
        <f t="shared" si="3"/>
        <v>9.9999999999999972E-22</v>
      </c>
      <c r="O11" s="23" t="s">
        <v>174</v>
      </c>
      <c r="Q11" s="22" t="s">
        <v>187</v>
      </c>
      <c r="R11" s="22" t="s">
        <v>175</v>
      </c>
      <c r="S11" s="22" t="s">
        <v>188</v>
      </c>
      <c r="T11" s="22" t="s">
        <v>176</v>
      </c>
      <c r="U11" s="22" t="s">
        <v>186</v>
      </c>
      <c r="V11" s="22" t="s">
        <v>174</v>
      </c>
      <c r="X11" s="22">
        <f t="shared" si="1"/>
        <v>-21</v>
      </c>
      <c r="Z11" s="22">
        <v>2</v>
      </c>
      <c r="AA11" s="22">
        <f t="shared" si="0"/>
        <v>0.3010299956639812</v>
      </c>
    </row>
    <row r="12" spans="1:28" x14ac:dyDescent="0.35">
      <c r="A12" s="2"/>
      <c r="B12" s="27" t="s">
        <v>189</v>
      </c>
      <c r="C12" s="22" t="s">
        <v>172</v>
      </c>
      <c r="D12" s="22" t="s">
        <v>190</v>
      </c>
      <c r="E12" s="22" t="s">
        <v>174</v>
      </c>
      <c r="G12" s="23" t="s">
        <v>189</v>
      </c>
      <c r="H12" s="24" t="s">
        <v>172</v>
      </c>
      <c r="I12" s="37">
        <f t="shared" si="2"/>
        <v>9.9999999999999974E-25</v>
      </c>
      <c r="J12" s="24" t="s">
        <v>174</v>
      </c>
      <c r="K12" s="41"/>
      <c r="L12" s="23" t="s">
        <v>189</v>
      </c>
      <c r="M12" s="23" t="s">
        <v>172</v>
      </c>
      <c r="N12" s="23">
        <f t="shared" si="3"/>
        <v>9.9999999999999974E-25</v>
      </c>
      <c r="O12" s="23" t="s">
        <v>174</v>
      </c>
      <c r="Q12" s="23" t="s">
        <v>189</v>
      </c>
      <c r="R12" s="22" t="s">
        <v>175</v>
      </c>
      <c r="S12" s="22" t="s">
        <v>191</v>
      </c>
      <c r="T12" s="22" t="s">
        <v>176</v>
      </c>
      <c r="U12" s="22" t="s">
        <v>192</v>
      </c>
      <c r="V12" s="22" t="s">
        <v>174</v>
      </c>
      <c r="X12" s="22">
        <v>-24</v>
      </c>
      <c r="Z12" s="22">
        <v>3</v>
      </c>
      <c r="AA12" s="22">
        <f t="shared" si="0"/>
        <v>0.47712125471966244</v>
      </c>
    </row>
    <row r="13" spans="1:28" x14ac:dyDescent="0.35">
      <c r="A13" s="2"/>
      <c r="B13" s="179"/>
      <c r="C13" s="180"/>
      <c r="D13" s="180"/>
      <c r="E13" s="181"/>
      <c r="G13" s="185"/>
      <c r="H13" s="186"/>
      <c r="I13" s="186"/>
      <c r="J13" s="187"/>
      <c r="K13" s="41"/>
      <c r="L13" s="182"/>
      <c r="M13" s="183"/>
      <c r="N13" s="183"/>
      <c r="O13" s="184"/>
      <c r="Q13" s="179"/>
      <c r="R13" s="180"/>
      <c r="S13" s="180"/>
      <c r="T13" s="180"/>
      <c r="U13" s="180"/>
      <c r="V13" s="181"/>
      <c r="X13" s="22"/>
      <c r="Z13" s="22">
        <v>10</v>
      </c>
      <c r="AA13" s="22">
        <f t="shared" si="0"/>
        <v>1</v>
      </c>
    </row>
    <row r="14" spans="1:28" x14ac:dyDescent="0.35">
      <c r="A14" s="2"/>
      <c r="B14" s="22" t="s">
        <v>193</v>
      </c>
      <c r="C14" s="22" t="s">
        <v>172</v>
      </c>
      <c r="D14" s="22" t="s">
        <v>194</v>
      </c>
      <c r="E14" s="22" t="s">
        <v>195</v>
      </c>
      <c r="G14" s="22" t="s">
        <v>193</v>
      </c>
      <c r="H14" s="22" t="s">
        <v>172</v>
      </c>
      <c r="I14" s="22">
        <v>0.01</v>
      </c>
      <c r="J14" s="22" t="s">
        <v>195</v>
      </c>
      <c r="L14" s="22" t="s">
        <v>193</v>
      </c>
      <c r="M14" s="22" t="s">
        <v>172</v>
      </c>
      <c r="N14" s="23">
        <v>0.01</v>
      </c>
      <c r="O14" s="22" t="s">
        <v>195</v>
      </c>
      <c r="Q14" s="22" t="s">
        <v>193</v>
      </c>
      <c r="R14" s="22" t="s">
        <v>175</v>
      </c>
      <c r="S14" s="22">
        <v>0.01</v>
      </c>
      <c r="T14" s="22" t="s">
        <v>176</v>
      </c>
      <c r="U14" s="22">
        <v>1</v>
      </c>
      <c r="V14" s="22" t="s">
        <v>195</v>
      </c>
      <c r="X14" s="22">
        <f>LOG(I14)</f>
        <v>-2</v>
      </c>
      <c r="Z14" s="22">
        <v>100</v>
      </c>
      <c r="AA14" s="22">
        <f t="shared" si="0"/>
        <v>2</v>
      </c>
    </row>
    <row r="15" spans="1:28" x14ac:dyDescent="0.35">
      <c r="A15" s="2"/>
      <c r="B15" s="22" t="s">
        <v>196</v>
      </c>
      <c r="C15" s="22" t="s">
        <v>172</v>
      </c>
      <c r="D15" s="22" t="s">
        <v>173</v>
      </c>
      <c r="E15" s="22" t="s">
        <v>195</v>
      </c>
      <c r="G15" s="24" t="s">
        <v>196</v>
      </c>
      <c r="H15" s="24" t="s">
        <v>172</v>
      </c>
      <c r="I15" s="35">
        <f>POWER(10,-3)</f>
        <v>1E-3</v>
      </c>
      <c r="J15" s="24" t="s">
        <v>195</v>
      </c>
      <c r="K15" s="41"/>
      <c r="L15" s="23" t="s">
        <v>196</v>
      </c>
      <c r="M15" s="23" t="s">
        <v>172</v>
      </c>
      <c r="N15" s="23">
        <f>POWER(10,-3)</f>
        <v>1E-3</v>
      </c>
      <c r="O15" s="23" t="s">
        <v>195</v>
      </c>
      <c r="Q15" s="22" t="s">
        <v>196</v>
      </c>
      <c r="R15" s="22" t="s">
        <v>175</v>
      </c>
      <c r="S15" s="22" t="s">
        <v>173</v>
      </c>
      <c r="T15" s="22" t="s">
        <v>176</v>
      </c>
      <c r="U15" s="22">
        <v>0.01</v>
      </c>
      <c r="V15" s="22" t="s">
        <v>195</v>
      </c>
      <c r="X15" s="22">
        <f t="shared" ref="X15:X17" si="4">LOG(I15)</f>
        <v>-3</v>
      </c>
      <c r="Z15" s="22">
        <v>1000</v>
      </c>
      <c r="AA15" s="22">
        <f t="shared" si="0"/>
        <v>3</v>
      </c>
    </row>
    <row r="16" spans="1:28" x14ac:dyDescent="0.35">
      <c r="A16" s="2"/>
      <c r="B16" s="22" t="s">
        <v>197</v>
      </c>
      <c r="C16" s="22" t="s">
        <v>172</v>
      </c>
      <c r="D16" s="22" t="s">
        <v>178</v>
      </c>
      <c r="E16" s="22" t="s">
        <v>195</v>
      </c>
      <c r="G16" s="24" t="s">
        <v>197</v>
      </c>
      <c r="H16" s="24" t="s">
        <v>172</v>
      </c>
      <c r="I16" s="34">
        <f>I15/1000</f>
        <v>9.9999999999999995E-7</v>
      </c>
      <c r="J16" s="24" t="s">
        <v>195</v>
      </c>
      <c r="K16" s="41"/>
      <c r="L16" s="23" t="s">
        <v>197</v>
      </c>
      <c r="M16" s="23" t="s">
        <v>172</v>
      </c>
      <c r="N16" s="23">
        <f>N15/1000</f>
        <v>9.9999999999999995E-7</v>
      </c>
      <c r="O16" s="23" t="s">
        <v>195</v>
      </c>
      <c r="Q16" s="22" t="s">
        <v>197</v>
      </c>
      <c r="R16" s="22" t="s">
        <v>175</v>
      </c>
      <c r="S16" s="22" t="s">
        <v>178</v>
      </c>
      <c r="T16" s="22" t="s">
        <v>176</v>
      </c>
      <c r="U16" s="22" t="s">
        <v>173</v>
      </c>
      <c r="V16" s="22" t="s">
        <v>195</v>
      </c>
      <c r="X16" s="22">
        <f t="shared" si="4"/>
        <v>-6</v>
      </c>
      <c r="Z16" s="22">
        <v>10000</v>
      </c>
      <c r="AA16" s="22">
        <f t="shared" si="0"/>
        <v>4</v>
      </c>
    </row>
    <row r="17" spans="1:27" x14ac:dyDescent="0.35">
      <c r="A17" s="2"/>
      <c r="B17" s="22" t="s">
        <v>198</v>
      </c>
      <c r="C17" s="22" t="s">
        <v>172</v>
      </c>
      <c r="D17" s="22" t="s">
        <v>180</v>
      </c>
      <c r="E17" s="22" t="s">
        <v>195</v>
      </c>
      <c r="G17" s="24" t="s">
        <v>198</v>
      </c>
      <c r="H17" s="24" t="s">
        <v>172</v>
      </c>
      <c r="I17" s="33">
        <f t="shared" ref="I17" si="5">I16/1000</f>
        <v>9.9999999999999986E-10</v>
      </c>
      <c r="J17" s="24" t="s">
        <v>195</v>
      </c>
      <c r="K17" s="41"/>
      <c r="L17" s="23" t="s">
        <v>198</v>
      </c>
      <c r="M17" s="23" t="s">
        <v>172</v>
      </c>
      <c r="N17" s="23">
        <f t="shared" ref="N17" si="6">N16/1000</f>
        <v>9.9999999999999986E-10</v>
      </c>
      <c r="O17" s="23" t="s">
        <v>195</v>
      </c>
      <c r="Q17" s="22" t="s">
        <v>198</v>
      </c>
      <c r="R17" s="22" t="s">
        <v>175</v>
      </c>
      <c r="S17" s="22" t="s">
        <v>180</v>
      </c>
      <c r="T17" s="22" t="s">
        <v>176</v>
      </c>
      <c r="U17" s="22" t="s">
        <v>178</v>
      </c>
      <c r="V17" s="22" t="s">
        <v>195</v>
      </c>
      <c r="X17" s="22">
        <f t="shared" si="4"/>
        <v>-9</v>
      </c>
      <c r="Z17" s="22">
        <v>100000</v>
      </c>
      <c r="AA17" s="22">
        <f t="shared" si="0"/>
        <v>5</v>
      </c>
    </row>
    <row r="20" spans="1:27" x14ac:dyDescent="0.35">
      <c r="X20"/>
    </row>
    <row r="21" spans="1:27" x14ac:dyDescent="0.35">
      <c r="X21"/>
    </row>
    <row r="22" spans="1:27" x14ac:dyDescent="0.35">
      <c r="A22" s="2"/>
      <c r="X22"/>
    </row>
    <row r="23" spans="1:27" x14ac:dyDescent="0.35">
      <c r="A23" s="2"/>
      <c r="X23"/>
    </row>
    <row r="24" spans="1:27" x14ac:dyDescent="0.35">
      <c r="A24" s="2"/>
      <c r="X24"/>
    </row>
    <row r="25" spans="1:27" x14ac:dyDescent="0.35">
      <c r="A25" s="2"/>
      <c r="X25"/>
    </row>
    <row r="26" spans="1:27" x14ac:dyDescent="0.35">
      <c r="A26" s="2"/>
      <c r="X26"/>
    </row>
    <row r="27" spans="1:27" x14ac:dyDescent="0.35">
      <c r="A27" s="25"/>
      <c r="X27"/>
    </row>
    <row r="28" spans="1:27" x14ac:dyDescent="0.35">
      <c r="A28" s="2"/>
      <c r="X28"/>
    </row>
    <row r="29" spans="1:27" x14ac:dyDescent="0.35">
      <c r="A29" s="2"/>
      <c r="X29"/>
    </row>
    <row r="30" spans="1:27" x14ac:dyDescent="0.35">
      <c r="A30" s="2"/>
      <c r="X30"/>
    </row>
    <row r="31" spans="1:27" x14ac:dyDescent="0.35">
      <c r="A31" s="2"/>
      <c r="X31"/>
    </row>
    <row r="46" spans="27:27" x14ac:dyDescent="0.35">
      <c r="AA46" t="s">
        <v>3</v>
      </c>
    </row>
  </sheetData>
  <mergeCells count="12">
    <mergeCell ref="B13:E13"/>
    <mergeCell ref="L13:O13"/>
    <mergeCell ref="G13:J13"/>
    <mergeCell ref="Q13:V13"/>
    <mergeCell ref="B3:E3"/>
    <mergeCell ref="L3:O3"/>
    <mergeCell ref="G3:J3"/>
    <mergeCell ref="Q3:V3"/>
    <mergeCell ref="B4:E4"/>
    <mergeCell ref="L4:O4"/>
    <mergeCell ref="G4:J4"/>
    <mergeCell ref="Q4:V4"/>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7D53F-25AF-450D-8DF7-A35ED7F5EBFE}">
  <dimension ref="A3:AH48"/>
  <sheetViews>
    <sheetView workbookViewId="0"/>
  </sheetViews>
  <sheetFormatPr defaultRowHeight="14.5" x14ac:dyDescent="0.35"/>
  <cols>
    <col min="1" max="1" width="11" style="1" bestFit="1" customWidth="1"/>
    <col min="2" max="2" width="2.1796875" style="2" customWidth="1"/>
    <col min="3" max="3" width="4.1796875" style="2" bestFit="1" customWidth="1"/>
    <col min="4" max="4" width="13" style="2" bestFit="1" customWidth="1"/>
    <col min="5" max="6" width="1.54296875" style="2" bestFit="1" customWidth="1"/>
    <col min="7" max="7" width="2.453125" style="2" bestFit="1" customWidth="1"/>
    <col min="8" max="8" width="7.453125" style="2" bestFit="1" customWidth="1"/>
    <col min="9" max="9" width="1.54296875" style="2" bestFit="1" customWidth="1"/>
    <col min="10" max="10" width="6.54296875" style="2" bestFit="1" customWidth="1"/>
    <col min="11" max="11" width="2.453125" style="2" bestFit="1" customWidth="1"/>
    <col min="12" max="12" width="1.54296875" style="2" bestFit="1" customWidth="1"/>
    <col min="13" max="13" width="6.54296875" style="3" bestFit="1" customWidth="1"/>
    <col min="14" max="14" width="1.54296875" style="2" bestFit="1" customWidth="1"/>
    <col min="15" max="15" width="1.54296875" style="2" customWidth="1"/>
    <col min="16" max="16" width="2.1796875" style="4" customWidth="1"/>
    <col min="17" max="17" width="2.81640625" style="4" bestFit="1" customWidth="1"/>
    <col min="18" max="18" width="7.453125" style="4" bestFit="1" customWidth="1"/>
    <col min="19" max="20" width="1.54296875" style="4" bestFit="1" customWidth="1"/>
    <col min="21" max="21" width="2.81640625" style="4" bestFit="1" customWidth="1"/>
    <col min="22" max="22" width="8" style="4" bestFit="1" customWidth="1"/>
    <col min="23" max="23" width="1.54296875" style="4" bestFit="1" customWidth="1"/>
    <col min="24" max="24" width="6.54296875" style="4" bestFit="1" customWidth="1"/>
    <col min="25" max="26" width="1.54296875" style="4" bestFit="1" customWidth="1"/>
    <col min="27" max="27" width="5.26953125" style="4" bestFit="1" customWidth="1"/>
    <col min="28" max="28" width="2.26953125" bestFit="1" customWidth="1"/>
    <col min="29" max="29" width="1.453125" customWidth="1"/>
    <col min="30" max="30" width="45" bestFit="1" customWidth="1"/>
    <col min="31" max="31" width="1.453125" customWidth="1"/>
    <col min="32" max="32" width="25.453125" bestFit="1" customWidth="1"/>
  </cols>
  <sheetData>
    <row r="3" spans="1:34" x14ac:dyDescent="0.35">
      <c r="B3" s="16" t="s">
        <v>199</v>
      </c>
      <c r="C3" s="17"/>
      <c r="D3" s="17"/>
      <c r="E3" s="17"/>
      <c r="F3" s="17"/>
      <c r="G3" s="17"/>
      <c r="H3" s="17"/>
      <c r="I3" s="17"/>
      <c r="J3" s="17"/>
      <c r="K3" s="17"/>
      <c r="L3" s="17"/>
      <c r="M3" s="18"/>
      <c r="N3" s="17"/>
      <c r="P3" s="16" t="s">
        <v>200</v>
      </c>
      <c r="Q3" s="15"/>
      <c r="R3" s="15"/>
      <c r="S3" s="15"/>
      <c r="T3" s="15"/>
      <c r="U3" s="15"/>
      <c r="V3" s="15"/>
      <c r="W3" s="15"/>
      <c r="X3" s="15"/>
      <c r="Y3" s="15"/>
      <c r="Z3" s="15"/>
      <c r="AA3" s="15"/>
      <c r="AB3" s="14"/>
      <c r="AD3" s="16" t="s">
        <v>201</v>
      </c>
      <c r="AF3" s="21" t="s">
        <v>202</v>
      </c>
    </row>
    <row r="4" spans="1:34" x14ac:dyDescent="0.35">
      <c r="B4" s="11">
        <v>1</v>
      </c>
      <c r="C4" s="11" t="s">
        <v>203</v>
      </c>
      <c r="D4" s="11" t="s">
        <v>204</v>
      </c>
      <c r="E4" s="12" t="s">
        <v>172</v>
      </c>
      <c r="F4" s="11">
        <v>1</v>
      </c>
      <c r="G4" s="11" t="s">
        <v>205</v>
      </c>
      <c r="H4" s="11" t="s">
        <v>206</v>
      </c>
      <c r="I4" s="12" t="s">
        <v>172</v>
      </c>
      <c r="J4" s="11">
        <v>1</v>
      </c>
      <c r="K4" s="11" t="s">
        <v>205</v>
      </c>
      <c r="L4" s="12" t="s">
        <v>172</v>
      </c>
      <c r="M4" s="13">
        <f>POWER(10,-3)</f>
        <v>1E-3</v>
      </c>
      <c r="N4" s="11" t="s">
        <v>207</v>
      </c>
      <c r="P4" s="11">
        <v>1</v>
      </c>
      <c r="Q4" s="11" t="s">
        <v>208</v>
      </c>
      <c r="R4" s="11" t="s">
        <v>206</v>
      </c>
      <c r="S4" s="12" t="s">
        <v>172</v>
      </c>
      <c r="T4" s="11">
        <v>1</v>
      </c>
      <c r="U4" s="11" t="s">
        <v>174</v>
      </c>
      <c r="V4" s="11" t="s">
        <v>209</v>
      </c>
      <c r="W4" s="12" t="s">
        <v>172</v>
      </c>
      <c r="X4" s="11">
        <v>1</v>
      </c>
      <c r="Y4" s="11" t="s">
        <v>174</v>
      </c>
      <c r="Z4" s="12" t="s">
        <v>172</v>
      </c>
      <c r="AA4" s="11" t="s">
        <v>173</v>
      </c>
      <c r="AB4" s="11" t="s">
        <v>210</v>
      </c>
      <c r="AD4" s="38" t="s">
        <v>211</v>
      </c>
      <c r="AE4" s="2"/>
      <c r="AF4" s="29"/>
    </row>
    <row r="5" spans="1:34" ht="15.5" x14ac:dyDescent="0.35">
      <c r="A5" s="10"/>
      <c r="B5" s="2">
        <v>1</v>
      </c>
      <c r="C5" s="2" t="s">
        <v>212</v>
      </c>
      <c r="D5" s="2" t="s">
        <v>213</v>
      </c>
      <c r="E5" s="6" t="s">
        <v>172</v>
      </c>
      <c r="F5" s="2">
        <v>1</v>
      </c>
      <c r="G5" s="2" t="s">
        <v>214</v>
      </c>
      <c r="H5" s="2" t="s">
        <v>215</v>
      </c>
      <c r="I5" s="6" t="s">
        <v>172</v>
      </c>
      <c r="J5" s="3">
        <f>M5*1000</f>
        <v>1E-3</v>
      </c>
      <c r="K5" s="2" t="s">
        <v>205</v>
      </c>
      <c r="L5" s="6" t="s">
        <v>172</v>
      </c>
      <c r="M5" s="3">
        <f>POWER(10,-6)</f>
        <v>9.9999999999999995E-7</v>
      </c>
      <c r="N5" s="2" t="s">
        <v>207</v>
      </c>
      <c r="P5" s="2">
        <v>1</v>
      </c>
      <c r="Q5" s="2" t="s">
        <v>214</v>
      </c>
      <c r="R5" s="2" t="s">
        <v>215</v>
      </c>
      <c r="S5" s="6" t="s">
        <v>172</v>
      </c>
      <c r="T5" s="2">
        <v>1</v>
      </c>
      <c r="U5" s="2" t="s">
        <v>216</v>
      </c>
      <c r="V5" s="2" t="s">
        <v>171</v>
      </c>
      <c r="W5" s="6" t="s">
        <v>172</v>
      </c>
      <c r="X5" s="2" t="s">
        <v>173</v>
      </c>
      <c r="Y5" s="2" t="s">
        <v>174</v>
      </c>
      <c r="Z5" s="6" t="s">
        <v>172</v>
      </c>
      <c r="AA5" s="2" t="s">
        <v>178</v>
      </c>
      <c r="AB5" s="2" t="s">
        <v>210</v>
      </c>
      <c r="AD5" s="4" t="s">
        <v>217</v>
      </c>
      <c r="AE5" s="2"/>
      <c r="AF5" s="22" t="s">
        <v>218</v>
      </c>
    </row>
    <row r="6" spans="1:34" ht="15.5" x14ac:dyDescent="0.35">
      <c r="A6" s="10"/>
      <c r="P6" s="2">
        <v>1</v>
      </c>
      <c r="Q6" s="2" t="s">
        <v>219</v>
      </c>
      <c r="R6" s="2" t="s">
        <v>220</v>
      </c>
      <c r="S6" s="6" t="s">
        <v>172</v>
      </c>
      <c r="T6" s="2">
        <v>1</v>
      </c>
      <c r="U6" s="2" t="s">
        <v>221</v>
      </c>
      <c r="V6" s="2" t="s">
        <v>177</v>
      </c>
      <c r="W6" s="6" t="s">
        <v>172</v>
      </c>
      <c r="X6" s="2" t="s">
        <v>178</v>
      </c>
      <c r="Y6" s="2" t="s">
        <v>174</v>
      </c>
      <c r="Z6" s="6" t="s">
        <v>172</v>
      </c>
      <c r="AA6" s="2" t="s">
        <v>180</v>
      </c>
      <c r="AB6" s="2" t="s">
        <v>210</v>
      </c>
      <c r="AD6" s="4" t="s">
        <v>222</v>
      </c>
      <c r="AE6" s="2"/>
      <c r="AF6" s="22" t="s">
        <v>223</v>
      </c>
    </row>
    <row r="7" spans="1:34" ht="15.5" x14ac:dyDescent="0.35">
      <c r="A7" s="10"/>
      <c r="P7" s="2">
        <v>1</v>
      </c>
      <c r="Q7" s="2" t="s">
        <v>224</v>
      </c>
      <c r="R7" s="2" t="s">
        <v>225</v>
      </c>
      <c r="S7" s="6" t="s">
        <v>172</v>
      </c>
      <c r="T7" s="2">
        <v>1</v>
      </c>
      <c r="U7" s="2" t="s">
        <v>226</v>
      </c>
      <c r="V7" s="2" t="s">
        <v>179</v>
      </c>
      <c r="W7" s="6" t="s">
        <v>172</v>
      </c>
      <c r="X7" s="2" t="s">
        <v>180</v>
      </c>
      <c r="Y7" s="2" t="s">
        <v>174</v>
      </c>
      <c r="Z7" s="6" t="s">
        <v>172</v>
      </c>
      <c r="AA7" s="2" t="s">
        <v>182</v>
      </c>
      <c r="AB7" s="2" t="s">
        <v>210</v>
      </c>
      <c r="AD7" s="4" t="s">
        <v>227</v>
      </c>
      <c r="AE7" s="2"/>
      <c r="AF7" s="22" t="s">
        <v>228</v>
      </c>
    </row>
    <row r="8" spans="1:34" x14ac:dyDescent="0.35">
      <c r="B8" s="2">
        <v>1</v>
      </c>
      <c r="C8" s="2" t="s">
        <v>229</v>
      </c>
      <c r="D8" s="2" t="s">
        <v>230</v>
      </c>
      <c r="E8" s="6" t="s">
        <v>172</v>
      </c>
      <c r="F8" s="2">
        <v>1</v>
      </c>
      <c r="G8" s="2" t="s">
        <v>231</v>
      </c>
      <c r="H8" s="2" t="s">
        <v>232</v>
      </c>
      <c r="I8" s="6" t="s">
        <v>172</v>
      </c>
      <c r="J8" s="3">
        <f>POWER(10,-12)</f>
        <v>9.9999999999999998E-13</v>
      </c>
      <c r="K8" s="2" t="s">
        <v>205</v>
      </c>
      <c r="L8" s="6" t="s">
        <v>172</v>
      </c>
      <c r="M8" s="3">
        <f>POWER(10,-15)</f>
        <v>1.0000000000000001E-15</v>
      </c>
      <c r="N8" s="2" t="s">
        <v>207</v>
      </c>
      <c r="P8" s="2">
        <v>1</v>
      </c>
      <c r="Q8" s="2" t="s">
        <v>231</v>
      </c>
      <c r="R8" s="2" t="s">
        <v>232</v>
      </c>
      <c r="S8" s="6" t="s">
        <v>172</v>
      </c>
      <c r="T8" s="2">
        <v>1</v>
      </c>
      <c r="U8" s="2" t="s">
        <v>233</v>
      </c>
      <c r="V8" s="2" t="s">
        <v>181</v>
      </c>
      <c r="W8" s="6" t="s">
        <v>172</v>
      </c>
      <c r="X8" s="2" t="s">
        <v>182</v>
      </c>
      <c r="Y8" s="2" t="s">
        <v>174</v>
      </c>
      <c r="Z8" s="6" t="s">
        <v>172</v>
      </c>
      <c r="AA8" s="2" t="s">
        <v>184</v>
      </c>
      <c r="AB8" s="2" t="s">
        <v>210</v>
      </c>
      <c r="AD8" s="4" t="s">
        <v>234</v>
      </c>
      <c r="AE8" s="2"/>
    </row>
    <row r="9" spans="1:34" x14ac:dyDescent="0.35">
      <c r="P9" s="2">
        <v>1</v>
      </c>
      <c r="Q9" s="2" t="s">
        <v>235</v>
      </c>
      <c r="R9" s="2" t="s">
        <v>236</v>
      </c>
      <c r="S9" s="6" t="s">
        <v>172</v>
      </c>
      <c r="T9" s="2">
        <v>1</v>
      </c>
      <c r="U9" s="2" t="s">
        <v>237</v>
      </c>
      <c r="V9" s="2" t="s">
        <v>183</v>
      </c>
      <c r="W9" s="6" t="s">
        <v>172</v>
      </c>
      <c r="X9" s="2" t="s">
        <v>184</v>
      </c>
      <c r="Y9" s="2" t="s">
        <v>174</v>
      </c>
      <c r="Z9" s="6" t="s">
        <v>172</v>
      </c>
      <c r="AA9" s="2" t="s">
        <v>186</v>
      </c>
      <c r="AB9" s="2" t="s">
        <v>210</v>
      </c>
      <c r="AE9" s="2"/>
    </row>
    <row r="10" spans="1:34" x14ac:dyDescent="0.35">
      <c r="J10" s="3"/>
      <c r="P10" s="2">
        <v>1</v>
      </c>
      <c r="Q10" s="2" t="s">
        <v>238</v>
      </c>
      <c r="R10" s="2" t="s">
        <v>239</v>
      </c>
      <c r="S10" s="6" t="s">
        <v>172</v>
      </c>
      <c r="T10" s="2">
        <v>1</v>
      </c>
      <c r="U10" s="2" t="s">
        <v>240</v>
      </c>
      <c r="V10" s="2" t="s">
        <v>185</v>
      </c>
      <c r="W10" s="6" t="s">
        <v>172</v>
      </c>
      <c r="X10" s="2" t="s">
        <v>186</v>
      </c>
      <c r="Y10" s="2" t="s">
        <v>174</v>
      </c>
      <c r="Z10" s="6" t="s">
        <v>172</v>
      </c>
      <c r="AA10" s="2" t="s">
        <v>188</v>
      </c>
      <c r="AB10" s="2" t="s">
        <v>210</v>
      </c>
      <c r="AD10" s="4" t="s">
        <v>241</v>
      </c>
    </row>
    <row r="11" spans="1:34" x14ac:dyDescent="0.35">
      <c r="B11" s="7">
        <v>1</v>
      </c>
      <c r="C11" s="7" t="s">
        <v>242</v>
      </c>
      <c r="D11" s="7" t="s">
        <v>243</v>
      </c>
      <c r="E11" s="8" t="s">
        <v>172</v>
      </c>
      <c r="F11" s="7">
        <v>1</v>
      </c>
      <c r="G11" s="7" t="s">
        <v>244</v>
      </c>
      <c r="H11" s="7" t="s">
        <v>245</v>
      </c>
      <c r="I11" s="8" t="s">
        <v>172</v>
      </c>
      <c r="J11" s="9">
        <f>M11*1000</f>
        <v>1.0000000000000001E-21</v>
      </c>
      <c r="K11" s="7" t="s">
        <v>205</v>
      </c>
      <c r="L11" s="8" t="s">
        <v>172</v>
      </c>
      <c r="M11" s="9">
        <f>POWER(10,-24)</f>
        <v>1.0000000000000001E-24</v>
      </c>
      <c r="N11" s="7" t="s">
        <v>207</v>
      </c>
      <c r="P11" s="7">
        <v>1</v>
      </c>
      <c r="Q11" s="7" t="s">
        <v>244</v>
      </c>
      <c r="R11" s="7" t="s">
        <v>245</v>
      </c>
      <c r="S11" s="8" t="s">
        <v>172</v>
      </c>
      <c r="T11" s="7">
        <v>1</v>
      </c>
      <c r="U11" s="7" t="s">
        <v>246</v>
      </c>
      <c r="V11" s="7" t="s">
        <v>187</v>
      </c>
      <c r="W11" s="8" t="s">
        <v>172</v>
      </c>
      <c r="X11" s="7" t="s">
        <v>188</v>
      </c>
      <c r="Y11" s="7" t="s">
        <v>174</v>
      </c>
      <c r="Z11" s="8" t="s">
        <v>172</v>
      </c>
      <c r="AA11" s="7" t="s">
        <v>191</v>
      </c>
      <c r="AB11" s="7" t="s">
        <v>210</v>
      </c>
      <c r="AD11" s="39"/>
    </row>
    <row r="12" spans="1:34" ht="24.5" x14ac:dyDescent="0.35">
      <c r="J12" s="3"/>
      <c r="P12" s="2"/>
      <c r="Q12" s="2"/>
      <c r="R12" s="2"/>
      <c r="S12" s="6"/>
      <c r="T12" s="2"/>
      <c r="U12" s="2"/>
      <c r="V12" s="2"/>
      <c r="W12" s="2"/>
      <c r="X12" s="2"/>
      <c r="Y12" s="2"/>
      <c r="Z12" s="2"/>
      <c r="AA12" s="2"/>
      <c r="AD12" s="42" t="s">
        <v>247</v>
      </c>
    </row>
    <row r="13" spans="1:34" x14ac:dyDescent="0.35">
      <c r="J13" s="3"/>
      <c r="V13" s="5"/>
    </row>
    <row r="14" spans="1:34" x14ac:dyDescent="0.35">
      <c r="V14" s="5"/>
      <c r="AE14" s="2"/>
      <c r="AF14" s="2"/>
      <c r="AG14" s="2"/>
      <c r="AH14" s="2"/>
    </row>
    <row r="15" spans="1:34" x14ac:dyDescent="0.35">
      <c r="V15" s="5"/>
      <c r="AE15" s="2"/>
      <c r="AF15" s="2"/>
      <c r="AG15" s="3"/>
      <c r="AH15" s="2"/>
    </row>
    <row r="16" spans="1:34" x14ac:dyDescent="0.35">
      <c r="V16" s="5"/>
      <c r="AE16" s="2"/>
      <c r="AF16" s="2"/>
      <c r="AG16" s="3"/>
      <c r="AH16" s="2"/>
    </row>
    <row r="17" spans="22:34" x14ac:dyDescent="0.35">
      <c r="V17" s="5"/>
      <c r="AE17" s="2"/>
      <c r="AF17" s="2"/>
      <c r="AG17" s="2"/>
      <c r="AH17" s="2"/>
    </row>
    <row r="18" spans="22:34" x14ac:dyDescent="0.35">
      <c r="AE18" s="2"/>
      <c r="AF18" s="2"/>
      <c r="AG18" s="2"/>
      <c r="AH18" s="2"/>
    </row>
    <row r="19" spans="22:34" x14ac:dyDescent="0.35">
      <c r="AE19" s="2"/>
      <c r="AF19" s="2"/>
      <c r="AG19" s="2"/>
      <c r="AH19" s="2"/>
    </row>
    <row r="48" spans="27:27" x14ac:dyDescent="0.35">
      <c r="AA48" s="4" t="s">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8BB9-5887-4944-87AF-7EDE39273055}">
  <sheetPr>
    <pageSetUpPr fitToPage="1"/>
  </sheetPr>
  <dimension ref="A1:Z77"/>
  <sheetViews>
    <sheetView zoomScale="73" zoomScaleNormal="100" workbookViewId="0">
      <selection activeCell="C3" sqref="C3"/>
    </sheetView>
  </sheetViews>
  <sheetFormatPr defaultColWidth="11.453125" defaultRowHeight="14.5" x14ac:dyDescent="0.35"/>
  <cols>
    <col min="1" max="1" width="11.453125" style="85"/>
    <col min="2" max="2" width="3" style="143" customWidth="1"/>
    <col min="3" max="3" width="22.08984375" style="146" customWidth="1"/>
    <col min="4" max="4" width="7.08984375" style="155" bestFit="1" customWidth="1"/>
    <col min="5" max="5" width="6" style="146" customWidth="1"/>
    <col min="6" max="6" width="6.54296875" style="147" customWidth="1"/>
    <col min="7" max="7" width="5.7265625" style="146" customWidth="1"/>
    <col min="8" max="8" width="6.54296875" style="147" customWidth="1"/>
    <col min="9" max="9" width="8.36328125" style="146" customWidth="1"/>
    <col min="10" max="10" width="6.7265625" style="85" customWidth="1"/>
    <col min="11" max="11" width="6.7265625" style="148" customWidth="1"/>
    <col min="12" max="16" width="6.7265625" style="85" customWidth="1"/>
    <col min="17" max="20" width="6.453125" style="85" customWidth="1"/>
    <col min="21" max="21" width="15.90625" style="85" bestFit="1" customWidth="1"/>
    <col min="22" max="23" width="15.90625" style="85" customWidth="1"/>
    <col min="24" max="24" width="11.453125" style="85"/>
    <col min="25" max="25" width="11.453125" style="142"/>
    <col min="26" max="26" width="11.453125" style="87"/>
  </cols>
  <sheetData>
    <row r="1" spans="1:26" x14ac:dyDescent="0.35">
      <c r="B1" s="141"/>
      <c r="C1" s="85"/>
      <c r="D1" s="145"/>
    </row>
    <row r="3" spans="1:26" s="43" customFormat="1" ht="136.5" x14ac:dyDescent="0.35">
      <c r="A3" s="86"/>
      <c r="B3" s="143"/>
      <c r="D3" s="149" t="s">
        <v>19</v>
      </c>
      <c r="E3" s="150" t="s">
        <v>8</v>
      </c>
      <c r="F3" s="151" t="s">
        <v>248</v>
      </c>
      <c r="G3" s="150" t="s">
        <v>249</v>
      </c>
      <c r="H3" s="151" t="s">
        <v>580</v>
      </c>
      <c r="I3" s="150" t="s">
        <v>432</v>
      </c>
      <c r="J3" s="150" t="s">
        <v>250</v>
      </c>
      <c r="K3" s="152" t="s">
        <v>251</v>
      </c>
      <c r="L3" s="150" t="s">
        <v>252</v>
      </c>
      <c r="M3" s="150" t="s">
        <v>253</v>
      </c>
      <c r="N3" s="150" t="s">
        <v>254</v>
      </c>
      <c r="O3" s="150" t="s">
        <v>428</v>
      </c>
      <c r="P3" s="150" t="s">
        <v>255</v>
      </c>
      <c r="Q3" s="150" t="s">
        <v>434</v>
      </c>
      <c r="R3" s="150" t="s">
        <v>436</v>
      </c>
      <c r="S3" s="150" t="s">
        <v>438</v>
      </c>
      <c r="T3" s="150" t="s">
        <v>1022</v>
      </c>
      <c r="U3" s="150" t="s">
        <v>256</v>
      </c>
      <c r="V3" s="150" t="s">
        <v>1068</v>
      </c>
      <c r="W3" s="150" t="s">
        <v>1076</v>
      </c>
      <c r="X3" s="153" t="s">
        <v>906</v>
      </c>
      <c r="Y3" s="141"/>
      <c r="Z3" s="88"/>
    </row>
    <row r="4" spans="1:26" s="43" customFormat="1" ht="14.5" customHeight="1" x14ac:dyDescent="0.35">
      <c r="A4" s="86"/>
      <c r="B4" s="211" t="s">
        <v>1568</v>
      </c>
      <c r="C4" s="211"/>
      <c r="D4" s="149"/>
      <c r="E4" s="150"/>
      <c r="F4" s="151"/>
      <c r="G4" s="150"/>
      <c r="H4" s="151"/>
      <c r="I4" s="150"/>
      <c r="J4" s="150"/>
      <c r="K4" s="152"/>
      <c r="L4" s="150"/>
      <c r="M4" s="150"/>
      <c r="N4" s="150"/>
      <c r="O4" s="150"/>
      <c r="P4" s="150"/>
      <c r="Q4" s="150"/>
      <c r="R4" s="150"/>
      <c r="S4" s="150"/>
      <c r="T4" s="150"/>
      <c r="U4" s="150"/>
      <c r="V4" s="150"/>
      <c r="W4" s="150"/>
      <c r="X4" s="153"/>
      <c r="Y4" s="141"/>
      <c r="Z4" s="88"/>
    </row>
    <row r="5" spans="1:26" x14ac:dyDescent="0.35">
      <c r="A5" s="146"/>
      <c r="C5" s="86" t="s">
        <v>1020</v>
      </c>
      <c r="D5" s="145">
        <f t="shared" ref="D5:D7" si="0">E5/POWER(10,6)</f>
        <v>1.0000000000000001E-7</v>
      </c>
      <c r="E5" s="146">
        <v>0.1</v>
      </c>
      <c r="F5" s="147" t="s">
        <v>62</v>
      </c>
      <c r="G5" s="146" t="s">
        <v>62</v>
      </c>
      <c r="H5" s="147" t="s">
        <v>62</v>
      </c>
      <c r="I5" s="146" t="s">
        <v>257</v>
      </c>
      <c r="J5" s="145">
        <f>(4/3)*PI()*POWER((E5/2),3)</f>
        <v>5.2359877559829892E-4</v>
      </c>
      <c r="K5" s="154">
        <f>J5/POWER(10,6)</f>
        <v>5.2359877559829897E-10</v>
      </c>
      <c r="L5" s="145">
        <f>K5*Q$5</f>
        <v>5.7595865315812887E-10</v>
      </c>
      <c r="M5" s="145">
        <f>L5*R$5</f>
        <v>1.4398966328953222E-10</v>
      </c>
      <c r="N5" s="145">
        <f>M5*S$5</f>
        <v>5.759586531581289E-11</v>
      </c>
      <c r="O5" s="155">
        <f>K5*T$5</f>
        <v>5.7595865315812896E-11</v>
      </c>
      <c r="P5" s="155">
        <f>N5/POWER(10,6)</f>
        <v>5.759586531581289E-17</v>
      </c>
      <c r="Q5" s="150">
        <v>1.1000000000000001</v>
      </c>
      <c r="R5" s="150">
        <v>0.25</v>
      </c>
      <c r="S5" s="150">
        <v>0.4</v>
      </c>
      <c r="T5" s="150">
        <f>Q5*R5*S5</f>
        <v>0.11000000000000001</v>
      </c>
      <c r="U5" s="1" t="s">
        <v>1058</v>
      </c>
      <c r="V5" s="1" t="s">
        <v>1058</v>
      </c>
      <c r="W5" s="1"/>
      <c r="X5" s="148">
        <f>P5*POWER(10,12)/J5</f>
        <v>0.11000000000000001</v>
      </c>
    </row>
    <row r="6" spans="1:26" ht="21.5" customHeight="1" x14ac:dyDescent="0.35">
      <c r="A6" s="146"/>
      <c r="C6" s="86" t="s">
        <v>1020</v>
      </c>
      <c r="D6" s="145">
        <f>E6/POWER(10,6)</f>
        <v>1.0000000000000001E-7</v>
      </c>
      <c r="E6" s="146">
        <v>0.1</v>
      </c>
      <c r="F6" s="147">
        <v>0.8</v>
      </c>
      <c r="G6" s="146" t="s">
        <v>62</v>
      </c>
      <c r="H6" s="147" t="s">
        <v>62</v>
      </c>
      <c r="I6" s="146" t="s">
        <v>1569</v>
      </c>
      <c r="J6" s="145">
        <f>PI()/6*POWER(F6,2)*E6</f>
        <v>3.3510321638291131E-2</v>
      </c>
      <c r="K6" s="154">
        <f>J6/POWER(10,6)</f>
        <v>3.3510321638291134E-8</v>
      </c>
      <c r="L6" s="145">
        <f>K6*Q$26</f>
        <v>3.6861353802120248E-8</v>
      </c>
      <c r="M6" s="145">
        <f>L6*R$26</f>
        <v>9.215338450530062E-9</v>
      </c>
      <c r="N6" s="145">
        <f>M6*S$26</f>
        <v>3.6861353802120249E-9</v>
      </c>
      <c r="O6" s="155">
        <f>K6*T$26</f>
        <v>3.6861353802120254E-9</v>
      </c>
      <c r="P6" s="155">
        <f>N6/POWER(10,6)</f>
        <v>3.6861353802120249E-15</v>
      </c>
      <c r="Q6" s="150">
        <v>1.1000000000000001</v>
      </c>
      <c r="R6" s="150">
        <v>0.25</v>
      </c>
      <c r="S6" s="150">
        <v>0.4</v>
      </c>
      <c r="T6" s="150">
        <f>Q6*R6*S6</f>
        <v>0.11000000000000001</v>
      </c>
      <c r="U6" s="1" t="s">
        <v>1063</v>
      </c>
      <c r="V6" s="1" t="s">
        <v>1070</v>
      </c>
      <c r="W6" s="1"/>
      <c r="X6" s="148">
        <f>P6*POWER(10,12)/J6</f>
        <v>0.11000000000000001</v>
      </c>
    </row>
    <row r="7" spans="1:26" x14ac:dyDescent="0.35">
      <c r="C7" s="86" t="s">
        <v>1573</v>
      </c>
      <c r="D7" s="145">
        <f t="shared" si="0"/>
        <v>9.9999999999999995E-7</v>
      </c>
      <c r="E7" s="146">
        <v>1</v>
      </c>
      <c r="F7" s="147" t="s">
        <v>62</v>
      </c>
      <c r="G7" s="146" t="s">
        <v>62</v>
      </c>
      <c r="H7" s="147" t="s">
        <v>62</v>
      </c>
      <c r="I7" s="146" t="s">
        <v>257</v>
      </c>
      <c r="J7" s="145">
        <f>(4/3)*PI()*POWER((E7/2),3)</f>
        <v>0.52359877559829882</v>
      </c>
      <c r="K7" s="154">
        <f>J7/POWER(10,6)</f>
        <v>5.2359877559829882E-7</v>
      </c>
      <c r="L7" s="145">
        <f>K7*Q$7</f>
        <v>5.7595865315812878E-7</v>
      </c>
      <c r="M7" s="145">
        <f>L7*R$7</f>
        <v>1.439896632895322E-7</v>
      </c>
      <c r="N7" s="145">
        <f>M7*S$7</f>
        <v>5.7595865315812881E-8</v>
      </c>
      <c r="O7" s="155">
        <f>K7*T$7</f>
        <v>5.7595865315812874E-8</v>
      </c>
      <c r="P7" s="155">
        <f>N7/POWER(10,6)</f>
        <v>5.7595865315812886E-14</v>
      </c>
      <c r="Q7" s="150">
        <v>1.1000000000000001</v>
      </c>
      <c r="R7" s="150">
        <v>0.25</v>
      </c>
      <c r="S7" s="150">
        <v>0.4</v>
      </c>
      <c r="T7" s="150">
        <f t="shared" ref="T7:T10" si="1">Q7*R7*S7</f>
        <v>0.11000000000000001</v>
      </c>
      <c r="U7" s="1" t="s">
        <v>1058</v>
      </c>
      <c r="V7" s="1" t="s">
        <v>1058</v>
      </c>
      <c r="W7" s="1"/>
      <c r="X7" s="148">
        <f t="shared" ref="X7:X9" si="2">P7*POWER(10,12)/J7</f>
        <v>0.11000000000000003</v>
      </c>
    </row>
    <row r="8" spans="1:26" x14ac:dyDescent="0.35">
      <c r="C8" s="86" t="s">
        <v>1573</v>
      </c>
      <c r="D8" s="145">
        <f t="shared" ref="D8" si="3">E8/POWER(10,6)</f>
        <v>1.3999999999999999E-6</v>
      </c>
      <c r="E8" s="146">
        <v>1.4</v>
      </c>
      <c r="F8" s="147">
        <v>0.6</v>
      </c>
      <c r="G8" s="146" t="s">
        <v>62</v>
      </c>
      <c r="H8" s="147">
        <v>0.8</v>
      </c>
      <c r="I8" s="146" t="s">
        <v>1075</v>
      </c>
      <c r="J8" s="145">
        <f xml:space="preserve"> 4/3*PI()*POWER((F8/2),3) + PI()*POWER((F8/2),2)*H8</f>
        <v>0.33929200658769765</v>
      </c>
      <c r="K8" s="154">
        <f>J8/POWER(10,6)</f>
        <v>3.3929200658769765E-7</v>
      </c>
      <c r="L8" s="145">
        <f>K8*Q$8</f>
        <v>3.7322120724646746E-7</v>
      </c>
      <c r="M8" s="145">
        <f>L8*R$8</f>
        <v>9.3305301811616866E-8</v>
      </c>
      <c r="N8" s="145">
        <f>M8*S$8</f>
        <v>3.7322120724646752E-8</v>
      </c>
      <c r="O8" s="155">
        <f>K8*T$8</f>
        <v>3.7322120724646745E-8</v>
      </c>
      <c r="P8" s="155">
        <f>N8/POWER(10,6)</f>
        <v>3.7322120724646753E-14</v>
      </c>
      <c r="Q8" s="150">
        <v>1.1000000000000001</v>
      </c>
      <c r="R8" s="150">
        <v>0.25</v>
      </c>
      <c r="S8" s="150">
        <v>0.4</v>
      </c>
      <c r="T8" s="150">
        <f t="shared" ref="T8" si="4">Q8*R8*S8</f>
        <v>0.11000000000000001</v>
      </c>
      <c r="U8" s="1" t="s">
        <v>1059</v>
      </c>
      <c r="V8" s="1" t="s">
        <v>1565</v>
      </c>
      <c r="W8" s="1"/>
      <c r="X8" s="148">
        <f t="shared" si="2"/>
        <v>0.11000000000000003</v>
      </c>
    </row>
    <row r="9" spans="1:26" x14ac:dyDescent="0.35">
      <c r="C9" s="86" t="s">
        <v>1021</v>
      </c>
      <c r="D9" s="145">
        <f t="shared" ref="D9:D10" si="5">E9/POWER(10,6)</f>
        <v>1.0000000000000001E-5</v>
      </c>
      <c r="E9" s="146">
        <v>10</v>
      </c>
      <c r="F9" s="147" t="s">
        <v>62</v>
      </c>
      <c r="G9" s="146" t="s">
        <v>62</v>
      </c>
      <c r="H9" s="147" t="s">
        <v>62</v>
      </c>
      <c r="I9" s="146" t="s">
        <v>257</v>
      </c>
      <c r="J9" s="145">
        <f>(4/3)*PI()*POWER((E9/2),3)</f>
        <v>523.59877559829886</v>
      </c>
      <c r="K9" s="154">
        <f>J9/POWER(10,6)</f>
        <v>5.2359877559829881E-4</v>
      </c>
      <c r="L9" s="145">
        <f>K9*Q$9</f>
        <v>5.7595865315812872E-4</v>
      </c>
      <c r="M9" s="145">
        <f>L9*R$9</f>
        <v>1.4398966328953218E-4</v>
      </c>
      <c r="N9" s="145">
        <f>M9*S$9</f>
        <v>5.7595865315812873E-5</v>
      </c>
      <c r="O9" s="155">
        <f>K9*T$9</f>
        <v>5.759586531581288E-5</v>
      </c>
      <c r="P9" s="155">
        <f>N9/POWER(10,6)</f>
        <v>5.759586531581287E-11</v>
      </c>
      <c r="Q9" s="150">
        <v>1.1000000000000001</v>
      </c>
      <c r="R9" s="150">
        <v>0.25</v>
      </c>
      <c r="S9" s="150">
        <v>0.4</v>
      </c>
      <c r="T9" s="150">
        <f t="shared" si="1"/>
        <v>0.11000000000000001</v>
      </c>
      <c r="U9" s="1" t="s">
        <v>1058</v>
      </c>
      <c r="V9" s="1" t="s">
        <v>1058</v>
      </c>
      <c r="W9" s="1"/>
      <c r="X9" s="148">
        <f t="shared" si="2"/>
        <v>0.11</v>
      </c>
    </row>
    <row r="10" spans="1:26" x14ac:dyDescent="0.35">
      <c r="C10" s="86" t="s">
        <v>1021</v>
      </c>
      <c r="D10" s="145">
        <f t="shared" si="5"/>
        <v>1.0000000000000001E-5</v>
      </c>
      <c r="E10" s="146">
        <v>10</v>
      </c>
      <c r="F10" s="147">
        <v>3</v>
      </c>
      <c r="G10" s="146">
        <v>2</v>
      </c>
      <c r="H10" s="147" t="s">
        <v>62</v>
      </c>
      <c r="I10" s="146" t="s">
        <v>261</v>
      </c>
      <c r="J10" s="145">
        <f>4/3*PI()*E10/2*F10/2*G10/2</f>
        <v>31.415926535897928</v>
      </c>
      <c r="K10" s="154">
        <f>J10/POWER(10,6)</f>
        <v>3.1415926535897928E-5</v>
      </c>
      <c r="L10" s="145">
        <f>K10*Q$10</f>
        <v>3.4557519189487722E-5</v>
      </c>
      <c r="M10" s="145">
        <f>L10*R$10</f>
        <v>8.6393797973719306E-6</v>
      </c>
      <c r="N10" s="145">
        <f>M10*S$10</f>
        <v>3.4557519189487725E-6</v>
      </c>
      <c r="O10" s="155">
        <f>K10*T$10</f>
        <v>3.4557519189487725E-6</v>
      </c>
      <c r="P10" s="155">
        <f>N10/POWER(10,6)</f>
        <v>3.4557519189487723E-12</v>
      </c>
      <c r="Q10" s="150">
        <v>1.1000000000000001</v>
      </c>
      <c r="R10" s="150">
        <v>0.25</v>
      </c>
      <c r="S10" s="150">
        <v>0.4</v>
      </c>
      <c r="T10" s="150">
        <f t="shared" si="1"/>
        <v>0.11000000000000001</v>
      </c>
      <c r="U10" s="1" t="s">
        <v>1060</v>
      </c>
      <c r="V10" s="1" t="s">
        <v>1067</v>
      </c>
      <c r="W10" s="1" t="s">
        <v>1072</v>
      </c>
      <c r="X10" s="148">
        <f>P10*POWER(10,12)/J10</f>
        <v>0.11000000000000001</v>
      </c>
      <c r="Y10" s="144"/>
    </row>
    <row r="11" spans="1:26" ht="20" x14ac:dyDescent="0.35">
      <c r="C11" s="86" t="s">
        <v>1021</v>
      </c>
      <c r="D11" s="145">
        <f t="shared" ref="D11" si="6">E11/POWER(10,6)</f>
        <v>1.0000000000000001E-5</v>
      </c>
      <c r="E11" s="146">
        <v>10</v>
      </c>
      <c r="F11" s="147">
        <v>3</v>
      </c>
      <c r="G11" s="146" t="s">
        <v>62</v>
      </c>
      <c r="H11" s="147" t="s">
        <v>62</v>
      </c>
      <c r="I11" s="146" t="s">
        <v>260</v>
      </c>
      <c r="J11" s="145">
        <f>PI()/6*POWER(F11,2)*E11</f>
        <v>47.123889803846893</v>
      </c>
      <c r="K11" s="154">
        <f>J11/POWER(10,6)</f>
        <v>4.7123889803846892E-5</v>
      </c>
      <c r="L11" s="145">
        <f>K11*Q$26</f>
        <v>5.1836278784231584E-5</v>
      </c>
      <c r="M11" s="145">
        <f>L11*R$26</f>
        <v>1.2959069696057896E-5</v>
      </c>
      <c r="N11" s="145">
        <f>M11*S$26</f>
        <v>5.1836278784231585E-6</v>
      </c>
      <c r="O11" s="155">
        <f>K11*T$26</f>
        <v>5.1836278784231585E-6</v>
      </c>
      <c r="P11" s="155">
        <f>N11/POWER(10,6)</f>
        <v>5.1836278784231583E-12</v>
      </c>
      <c r="Q11" s="150">
        <v>1.1000000000000001</v>
      </c>
      <c r="R11" s="150">
        <v>0.25</v>
      </c>
      <c r="S11" s="150">
        <v>0.4</v>
      </c>
      <c r="T11" s="150">
        <f>Q11*R11*S11</f>
        <v>0.11000000000000001</v>
      </c>
      <c r="U11" s="1" t="s">
        <v>1063</v>
      </c>
      <c r="V11" s="1" t="s">
        <v>1070</v>
      </c>
      <c r="W11" s="1"/>
      <c r="X11" s="148">
        <f>P11*POWER(10,12)/J11</f>
        <v>0.11000000000000001</v>
      </c>
      <c r="Y11" s="144"/>
    </row>
    <row r="12" spans="1:26" x14ac:dyDescent="0.35">
      <c r="C12" s="86" t="s">
        <v>1574</v>
      </c>
      <c r="D12" s="145">
        <f>E12/POWER(10,6)</f>
        <v>1E-4</v>
      </c>
      <c r="E12" s="146">
        <v>100</v>
      </c>
      <c r="F12" s="147">
        <v>30</v>
      </c>
      <c r="G12" s="146">
        <v>2</v>
      </c>
      <c r="H12" s="147" t="s">
        <v>62</v>
      </c>
      <c r="I12" s="146" t="s">
        <v>261</v>
      </c>
      <c r="J12" s="145">
        <f>4/3*PI()*E12/2*F12/2*G12/2</f>
        <v>3141.5926535897929</v>
      </c>
      <c r="K12" s="154">
        <f>J12/POWER(10,6)</f>
        <v>3.1415926535897929E-3</v>
      </c>
      <c r="L12" s="145">
        <f>K12*Q$10</f>
        <v>3.4557519189487725E-3</v>
      </c>
      <c r="M12" s="145">
        <f>L12*R$10</f>
        <v>8.6393797973719313E-4</v>
      </c>
      <c r="N12" s="145">
        <f>M12*S$10</f>
        <v>3.4557519189487725E-4</v>
      </c>
      <c r="O12" s="155">
        <f>K12*T$10</f>
        <v>3.4557519189487725E-4</v>
      </c>
      <c r="P12" s="155">
        <f>N12/POWER(10,6)</f>
        <v>3.4557519189487726E-10</v>
      </c>
      <c r="Q12" s="150">
        <v>1.1000000000000001</v>
      </c>
      <c r="R12" s="150">
        <v>0.25</v>
      </c>
      <c r="S12" s="150">
        <v>0.4</v>
      </c>
      <c r="T12" s="150">
        <f t="shared" ref="T12" si="7">Q12*R12*S12</f>
        <v>0.11000000000000001</v>
      </c>
      <c r="U12" s="1" t="s">
        <v>1060</v>
      </c>
      <c r="V12" s="1" t="s">
        <v>1067</v>
      </c>
      <c r="W12" s="1" t="s">
        <v>1072</v>
      </c>
      <c r="X12" s="148">
        <f>P12*POWER(10,12)/J12</f>
        <v>0.11000000000000001</v>
      </c>
    </row>
    <row r="13" spans="1:26" ht="20" x14ac:dyDescent="0.35">
      <c r="C13" s="86" t="s">
        <v>1574</v>
      </c>
      <c r="D13" s="145">
        <f>E13/POWER(10,6)</f>
        <v>1E-4</v>
      </c>
      <c r="E13" s="146">
        <v>100</v>
      </c>
      <c r="F13" s="147">
        <v>30</v>
      </c>
      <c r="G13" s="146" t="s">
        <v>62</v>
      </c>
      <c r="H13" s="147" t="s">
        <v>62</v>
      </c>
      <c r="I13" s="146" t="s">
        <v>260</v>
      </c>
      <c r="J13" s="145">
        <f>PI()/6*POWER(F13,2)*E13</f>
        <v>47123.889803846898</v>
      </c>
      <c r="K13" s="154">
        <f>J13/POWER(10,6)</f>
        <v>4.7123889803846901E-2</v>
      </c>
      <c r="L13" s="145">
        <f>K13*Q$26</f>
        <v>5.1836278784231596E-2</v>
      </c>
      <c r="M13" s="145">
        <f>L13*R$26</f>
        <v>1.2959069696057899E-2</v>
      </c>
      <c r="N13" s="145">
        <f>M13*S$26</f>
        <v>5.1836278784231603E-3</v>
      </c>
      <c r="O13" s="155">
        <f>K13*T$26</f>
        <v>5.1836278784231594E-3</v>
      </c>
      <c r="P13" s="155">
        <f>N13/POWER(10,6)</f>
        <v>5.18362787842316E-9</v>
      </c>
      <c r="Q13" s="150">
        <v>1.1000000000000001</v>
      </c>
      <c r="R13" s="150">
        <v>0.25</v>
      </c>
      <c r="S13" s="150">
        <v>0.4</v>
      </c>
      <c r="T13" s="150">
        <f>Q13*R13*S13</f>
        <v>0.11000000000000001</v>
      </c>
      <c r="U13" s="1" t="s">
        <v>1063</v>
      </c>
      <c r="V13" s="1" t="s">
        <v>1070</v>
      </c>
      <c r="W13" s="1"/>
      <c r="X13" s="148">
        <f>P13*POWER(10,12)/J13</f>
        <v>0.11000000000000003</v>
      </c>
    </row>
    <row r="14" spans="1:26" ht="20" x14ac:dyDescent="0.35">
      <c r="C14" s="86" t="s">
        <v>1572</v>
      </c>
      <c r="D14" s="145">
        <f>E14/POWER(10,6)</f>
        <v>1E-3</v>
      </c>
      <c r="E14" s="146">
        <v>1000</v>
      </c>
      <c r="F14" s="147">
        <v>300</v>
      </c>
      <c r="G14" s="146" t="s">
        <v>62</v>
      </c>
      <c r="H14" s="147" t="s">
        <v>62</v>
      </c>
      <c r="I14" s="146" t="s">
        <v>260</v>
      </c>
      <c r="J14" s="145">
        <f>PI()/6*POWER(F14,2)*E14</f>
        <v>47123889.803846888</v>
      </c>
      <c r="K14" s="154">
        <f>J14/POWER(10,6)</f>
        <v>47.123889803846886</v>
      </c>
      <c r="L14" s="145">
        <f>K14*Q$26</f>
        <v>51.836278784231581</v>
      </c>
      <c r="M14" s="145">
        <f>L14*R$26</f>
        <v>12.959069696057895</v>
      </c>
      <c r="N14" s="145">
        <f>M14*S$26</f>
        <v>5.1836278784231586</v>
      </c>
      <c r="O14" s="155">
        <f>K14*T$26</f>
        <v>5.1836278784231578</v>
      </c>
      <c r="P14" s="155">
        <f>N14/POWER(10,6)</f>
        <v>5.1836278784231585E-6</v>
      </c>
      <c r="Q14" s="150">
        <v>1.1000000000000001</v>
      </c>
      <c r="R14" s="150">
        <v>0.25</v>
      </c>
      <c r="S14" s="150">
        <v>0.4</v>
      </c>
      <c r="T14" s="150">
        <f>Q14*R14*S14</f>
        <v>0.11000000000000001</v>
      </c>
      <c r="U14" s="1" t="s">
        <v>1063</v>
      </c>
      <c r="V14" s="1" t="s">
        <v>1070</v>
      </c>
      <c r="W14" s="1"/>
      <c r="X14" s="148">
        <f>P14*POWER(10,12)/J14</f>
        <v>0.11000000000000001</v>
      </c>
    </row>
    <row r="15" spans="1:26" x14ac:dyDescent="0.35">
      <c r="C15" s="86" t="s">
        <v>1572</v>
      </c>
      <c r="D15" s="145">
        <f>E15/POWER(10,6)</f>
        <v>1E-3</v>
      </c>
      <c r="E15" s="146">
        <v>1000</v>
      </c>
      <c r="F15" s="147">
        <v>300</v>
      </c>
      <c r="G15" s="146" t="s">
        <v>62</v>
      </c>
      <c r="H15" s="147" t="s">
        <v>62</v>
      </c>
      <c r="I15" s="146" t="s">
        <v>258</v>
      </c>
      <c r="J15" s="145">
        <f>(1/6)*PI()*(POWER((F15/2),2))*E15</f>
        <v>11780972.450961722</v>
      </c>
      <c r="K15" s="154">
        <f>J15/POWER(10,6)</f>
        <v>11.780972450961722</v>
      </c>
      <c r="L15" s="145">
        <f>K15*Q$24</f>
        <v>12.959069696057895</v>
      </c>
      <c r="M15" s="145">
        <f>L15*R$24</f>
        <v>3.2397674240144738</v>
      </c>
      <c r="N15" s="145">
        <f>M15*S$24</f>
        <v>1.2959069696057897</v>
      </c>
      <c r="O15" s="155">
        <f>K15*T$24</f>
        <v>1.2959069696057894</v>
      </c>
      <c r="P15" s="155">
        <f>N15/POWER(10,6)</f>
        <v>1.2959069696057896E-6</v>
      </c>
      <c r="Q15" s="150">
        <v>1.1000000000000001</v>
      </c>
      <c r="R15" s="150">
        <v>0.25</v>
      </c>
      <c r="S15" s="150">
        <v>0.4</v>
      </c>
      <c r="T15" s="150">
        <f>Q15*R15*S15</f>
        <v>0.11000000000000001</v>
      </c>
      <c r="U15" s="1" t="s">
        <v>1061</v>
      </c>
      <c r="V15" s="1" t="s">
        <v>1071</v>
      </c>
      <c r="W15" s="1"/>
      <c r="X15" s="148">
        <f>P15*POWER(10,12)/J15</f>
        <v>0.11000000000000001</v>
      </c>
    </row>
    <row r="16" spans="1:26" x14ac:dyDescent="0.35">
      <c r="C16" s="86"/>
      <c r="D16" s="145"/>
      <c r="J16" s="145"/>
      <c r="K16" s="154"/>
      <c r="L16" s="145"/>
      <c r="M16" s="145"/>
      <c r="N16" s="145"/>
      <c r="O16" s="155"/>
      <c r="P16" s="155"/>
      <c r="Q16" s="150"/>
      <c r="R16" s="150"/>
      <c r="S16" s="150"/>
      <c r="T16" s="150"/>
      <c r="U16" s="1"/>
      <c r="V16" s="1"/>
      <c r="W16" s="1"/>
      <c r="X16" s="148"/>
    </row>
    <row r="17" spans="2:24" x14ac:dyDescent="0.35">
      <c r="C17" s="86"/>
      <c r="D17" s="145"/>
      <c r="J17" s="145"/>
      <c r="K17" s="154"/>
      <c r="L17" s="145"/>
      <c r="M17" s="145"/>
      <c r="N17" s="145"/>
      <c r="O17" s="155"/>
      <c r="P17" s="155"/>
      <c r="Q17" s="150"/>
      <c r="R17" s="150"/>
      <c r="S17" s="150"/>
      <c r="T17" s="150"/>
      <c r="U17" s="1"/>
      <c r="V17" s="1"/>
      <c r="W17" s="1"/>
      <c r="X17" s="148"/>
    </row>
    <row r="18" spans="2:24" x14ac:dyDescent="0.35">
      <c r="B18" s="86" t="s">
        <v>1567</v>
      </c>
      <c r="C18" s="86"/>
      <c r="D18" s="145"/>
      <c r="J18" s="145"/>
      <c r="K18" s="154"/>
      <c r="L18" s="145"/>
      <c r="M18" s="145"/>
      <c r="N18" s="145"/>
      <c r="O18" s="155"/>
      <c r="P18" s="155"/>
      <c r="Q18" s="150"/>
      <c r="R18" s="150"/>
      <c r="S18" s="150"/>
      <c r="T18" s="150"/>
      <c r="U18" s="1"/>
      <c r="V18" s="1"/>
      <c r="W18" s="1"/>
      <c r="X18" s="148"/>
    </row>
    <row r="19" spans="2:24" ht="20" x14ac:dyDescent="0.35">
      <c r="C19" s="150" t="s">
        <v>1566</v>
      </c>
      <c r="D19" s="145">
        <f>E19/POWER(10,6)</f>
        <v>1E-4</v>
      </c>
      <c r="E19" s="146">
        <v>100</v>
      </c>
      <c r="F19" s="147" t="s">
        <v>62</v>
      </c>
      <c r="G19" s="146" t="s">
        <v>62</v>
      </c>
      <c r="H19" s="147" t="s">
        <v>62</v>
      </c>
      <c r="I19" s="146" t="s">
        <v>907</v>
      </c>
      <c r="J19" s="145">
        <f>(4/3)*PI()*POWER((E19/2),3)</f>
        <v>523598.77559829882</v>
      </c>
      <c r="K19" s="154">
        <f>J19/POWER(10,6)</f>
        <v>0.52359877559829882</v>
      </c>
      <c r="L19" s="145">
        <f>K19*Q$19</f>
        <v>1.1833332328521553</v>
      </c>
      <c r="M19" s="145">
        <f>L19*R$19</f>
        <v>1.1833332328521553</v>
      </c>
      <c r="N19" s="145">
        <f>M19*S$19</f>
        <v>1.1833332328521553</v>
      </c>
      <c r="O19" s="155">
        <f>K19*T$19</f>
        <v>1.1833332328521553</v>
      </c>
      <c r="P19" s="155">
        <f>N19/POWER(10,6)</f>
        <v>1.1833332328521554E-6</v>
      </c>
      <c r="Q19" s="150">
        <v>2.2599999999999998</v>
      </c>
      <c r="R19" s="150">
        <v>1</v>
      </c>
      <c r="S19" s="150">
        <v>1</v>
      </c>
      <c r="T19" s="150">
        <f t="shared" ref="T19" si="8">Q19*R19*S19</f>
        <v>2.2599999999999998</v>
      </c>
      <c r="U19" s="1" t="s">
        <v>1058</v>
      </c>
      <c r="V19" s="1" t="s">
        <v>1058</v>
      </c>
      <c r="W19" s="1"/>
      <c r="X19" s="148">
        <f>P19*POWER(10,12)/J19</f>
        <v>2.2600000000000002</v>
      </c>
    </row>
    <row r="20" spans="2:24" x14ac:dyDescent="0.35">
      <c r="C20" s="150"/>
      <c r="D20" s="145"/>
      <c r="J20" s="145"/>
      <c r="K20" s="154"/>
      <c r="L20" s="145"/>
      <c r="M20" s="145"/>
      <c r="N20" s="145"/>
      <c r="O20" s="155"/>
      <c r="P20" s="155"/>
      <c r="Q20" s="150"/>
      <c r="R20" s="150"/>
      <c r="S20" s="150"/>
      <c r="T20" s="150"/>
      <c r="U20" s="1"/>
      <c r="V20" s="1"/>
      <c r="W20" s="1"/>
      <c r="X20" s="148"/>
    </row>
    <row r="21" spans="2:24" ht="27.5" customHeight="1" x14ac:dyDescent="0.35">
      <c r="D21" s="145">
        <f t="shared" ref="D21:D23" si="9">E21/POWER(10,6)</f>
        <v>1E-4</v>
      </c>
      <c r="E21" s="146">
        <v>100</v>
      </c>
      <c r="F21" s="147" t="s">
        <v>62</v>
      </c>
      <c r="G21" s="146" t="s">
        <v>62</v>
      </c>
      <c r="H21" s="147" t="s">
        <v>62</v>
      </c>
      <c r="I21" s="146" t="s">
        <v>257</v>
      </c>
      <c r="J21" s="145">
        <f>(4/3)*PI()*POWER((E21/2),3)</f>
        <v>523598.77559829882</v>
      </c>
      <c r="K21" s="154">
        <f>J21/POWER(10,6)</f>
        <v>0.52359877559829882</v>
      </c>
      <c r="L21" s="145">
        <f>K21*Q$5</f>
        <v>0.57595865315812877</v>
      </c>
      <c r="M21" s="145">
        <f>L21*R$5</f>
        <v>0.14398966328953219</v>
      </c>
      <c r="N21" s="145">
        <f>M21*S$21</f>
        <v>5.7595865315812879E-2</v>
      </c>
      <c r="O21" s="155">
        <f>K21*T$5</f>
        <v>5.7595865315812879E-2</v>
      </c>
      <c r="P21" s="155">
        <f>N21/POWER(10,6)</f>
        <v>5.7595865315812881E-8</v>
      </c>
      <c r="Q21" s="150">
        <v>1.1000000000000001</v>
      </c>
      <c r="R21" s="150">
        <v>0.25</v>
      </c>
      <c r="S21" s="150">
        <v>0.4</v>
      </c>
      <c r="T21" s="150">
        <f>Q21*R21*S21</f>
        <v>0.11000000000000001</v>
      </c>
      <c r="U21" s="1" t="s">
        <v>1058</v>
      </c>
      <c r="V21" s="1" t="s">
        <v>1058</v>
      </c>
      <c r="W21" s="1"/>
      <c r="X21" s="148">
        <f>P21*POWER(10,12)/J21</f>
        <v>0.11000000000000001</v>
      </c>
    </row>
    <row r="22" spans="2:24" ht="25.5" customHeight="1" x14ac:dyDescent="0.35">
      <c r="D22" s="145">
        <f t="shared" si="9"/>
        <v>1E-4</v>
      </c>
      <c r="E22" s="146">
        <v>100</v>
      </c>
      <c r="F22" s="147">
        <v>10</v>
      </c>
      <c r="G22" s="146" t="s">
        <v>62</v>
      </c>
      <c r="H22" s="147">
        <v>0.8</v>
      </c>
      <c r="I22" s="146" t="s">
        <v>1571</v>
      </c>
      <c r="J22" s="145">
        <f xml:space="preserve"> 4/3*PI()*POWER((F22/2),3) + PI()*POWER((F22/2),2)*H22</f>
        <v>586.43062867009473</v>
      </c>
      <c r="K22" s="154">
        <f>J22/POWER(10,6)</f>
        <v>5.864306286700947E-4</v>
      </c>
      <c r="L22" s="145">
        <f>K22*Q$8</f>
        <v>6.4507369153710419E-4</v>
      </c>
      <c r="M22" s="145">
        <f>L22*R$8</f>
        <v>1.6126842288427605E-4</v>
      </c>
      <c r="N22" s="145">
        <f>M22*S$8</f>
        <v>6.4507369153710419E-5</v>
      </c>
      <c r="O22" s="155">
        <f>K22*T$8</f>
        <v>6.4507369153710419E-5</v>
      </c>
      <c r="P22" s="155">
        <f>N22/POWER(10,6)</f>
        <v>6.4507369153710416E-11</v>
      </c>
      <c r="Q22" s="150">
        <v>1.1000000000000001</v>
      </c>
      <c r="R22" s="150">
        <v>0.25</v>
      </c>
      <c r="S22" s="150">
        <v>0.4</v>
      </c>
      <c r="T22" s="150">
        <f t="shared" ref="T22" si="10">Q22*R22*S22</f>
        <v>0.11000000000000001</v>
      </c>
      <c r="U22" s="1" t="s">
        <v>1059</v>
      </c>
      <c r="V22" s="1" t="s">
        <v>1565</v>
      </c>
      <c r="W22" s="1"/>
      <c r="X22" s="148">
        <f t="shared" ref="X22" si="11">P22*POWER(10,12)/J22</f>
        <v>0.10999999999999999</v>
      </c>
    </row>
    <row r="23" spans="2:24" ht="25.5" customHeight="1" x14ac:dyDescent="0.35">
      <c r="C23" s="86"/>
      <c r="D23" s="145">
        <f t="shared" si="9"/>
        <v>1E-4</v>
      </c>
      <c r="E23" s="146">
        <v>100</v>
      </c>
      <c r="F23" s="147">
        <v>10</v>
      </c>
      <c r="G23" s="146">
        <v>2</v>
      </c>
      <c r="H23" s="147" t="s">
        <v>62</v>
      </c>
      <c r="I23" s="146" t="s">
        <v>261</v>
      </c>
      <c r="J23" s="145">
        <f>4/3*PI()*E23/2*F23/2*G23/2</f>
        <v>1047.1975511965977</v>
      </c>
      <c r="K23" s="154">
        <f>J23/POWER(10,6)</f>
        <v>1.0471975511965976E-3</v>
      </c>
      <c r="L23" s="145">
        <f>K23*Q$10</f>
        <v>1.1519173063162574E-3</v>
      </c>
      <c r="M23" s="145">
        <f>L23*R$10</f>
        <v>2.8797932657906436E-4</v>
      </c>
      <c r="N23" s="145">
        <f>M23*S$23</f>
        <v>1.1519173063162575E-4</v>
      </c>
      <c r="O23" s="155">
        <f>K23*T$10</f>
        <v>1.1519173063162576E-4</v>
      </c>
      <c r="P23" s="155">
        <f>N23/POWER(10,6)</f>
        <v>1.1519173063162574E-10</v>
      </c>
      <c r="Q23" s="150">
        <v>1.1000000000000001</v>
      </c>
      <c r="R23" s="150">
        <v>0.25</v>
      </c>
      <c r="S23" s="150">
        <v>0.4</v>
      </c>
      <c r="T23" s="150">
        <f t="shared" ref="T23" si="12">Q23*R23*S23</f>
        <v>0.11000000000000001</v>
      </c>
      <c r="U23" s="1" t="s">
        <v>1060</v>
      </c>
      <c r="V23" s="1" t="s">
        <v>1067</v>
      </c>
      <c r="W23" s="1" t="s">
        <v>1072</v>
      </c>
      <c r="X23" s="148">
        <f>P23*POWER(10,12)/J23</f>
        <v>0.11</v>
      </c>
    </row>
    <row r="24" spans="2:24" ht="38.5" customHeight="1" x14ac:dyDescent="0.35">
      <c r="C24" s="86"/>
      <c r="D24" s="145">
        <f>E24/POWER(10,6)</f>
        <v>1E-4</v>
      </c>
      <c r="E24" s="146">
        <v>100</v>
      </c>
      <c r="F24" s="147">
        <v>10</v>
      </c>
      <c r="G24" s="146" t="s">
        <v>62</v>
      </c>
      <c r="H24" s="147" t="s">
        <v>62</v>
      </c>
      <c r="I24" s="146" t="s">
        <v>258</v>
      </c>
      <c r="J24" s="145">
        <f>(1/6)*PI()*(POWER((F24/2),2))*E24</f>
        <v>1308.9969389957471</v>
      </c>
      <c r="K24" s="154">
        <f>J24/POWER(10,6)</f>
        <v>1.308996938995747E-3</v>
      </c>
      <c r="L24" s="145">
        <f>K24*Q$24</f>
        <v>1.4398966328953218E-3</v>
      </c>
      <c r="M24" s="145">
        <f>L24*R$24</f>
        <v>3.5997415822383046E-4</v>
      </c>
      <c r="N24" s="145">
        <f>M24*S$24</f>
        <v>1.4398966328953218E-4</v>
      </c>
      <c r="O24" s="155">
        <f>K24*T$24</f>
        <v>1.4398966328953218E-4</v>
      </c>
      <c r="P24" s="155">
        <f>N24/POWER(10,6)</f>
        <v>1.4398966328953217E-10</v>
      </c>
      <c r="Q24" s="150">
        <v>1.1000000000000001</v>
      </c>
      <c r="R24" s="150">
        <v>0.25</v>
      </c>
      <c r="S24" s="150">
        <v>0.4</v>
      </c>
      <c r="T24" s="150">
        <f>Q24*R24*S24</f>
        <v>0.11000000000000001</v>
      </c>
      <c r="U24" s="1" t="s">
        <v>1061</v>
      </c>
      <c r="V24" s="1" t="s">
        <v>1071</v>
      </c>
      <c r="W24" s="1"/>
      <c r="X24" s="148">
        <f>P24*POWER(10,12)/J24</f>
        <v>0.10999999999999999</v>
      </c>
    </row>
    <row r="25" spans="2:24" ht="38.5" customHeight="1" x14ac:dyDescent="0.35">
      <c r="C25" s="86"/>
      <c r="D25" s="145">
        <f>E25/POWER(10,6)</f>
        <v>1E-4</v>
      </c>
      <c r="E25" s="146">
        <v>100</v>
      </c>
      <c r="F25" s="147">
        <v>10</v>
      </c>
      <c r="G25" s="146" t="s">
        <v>62</v>
      </c>
      <c r="H25" s="147" t="s">
        <v>62</v>
      </c>
      <c r="I25" s="146" t="s">
        <v>259</v>
      </c>
      <c r="J25" s="145">
        <f>PI()*(POWER((F25/2),2))*E25</f>
        <v>7853.981633974483</v>
      </c>
      <c r="K25" s="154">
        <f>J25/POWER(10,6)</f>
        <v>7.8539816339744835E-3</v>
      </c>
      <c r="L25" s="145">
        <f>K25*Q$25</f>
        <v>8.6393797973719332E-3</v>
      </c>
      <c r="M25" s="145">
        <f>L25*R$25</f>
        <v>2.1598449493429833E-3</v>
      </c>
      <c r="N25" s="145">
        <f>M25*S$25</f>
        <v>8.6393797973719334E-4</v>
      </c>
      <c r="O25" s="155">
        <f>K25*T$25</f>
        <v>8.6393797973719334E-4</v>
      </c>
      <c r="P25" s="155">
        <f>N25/POWER(10,6)</f>
        <v>8.6393797973719336E-10</v>
      </c>
      <c r="Q25" s="150">
        <v>1.1000000000000001</v>
      </c>
      <c r="R25" s="150">
        <v>0.25</v>
      </c>
      <c r="S25" s="150">
        <v>0.4</v>
      </c>
      <c r="T25" s="150">
        <f>Q25*R25*S25</f>
        <v>0.11000000000000001</v>
      </c>
      <c r="U25" s="1" t="s">
        <v>1062</v>
      </c>
      <c r="V25" s="1" t="s">
        <v>1069</v>
      </c>
      <c r="W25" s="1" t="s">
        <v>1073</v>
      </c>
      <c r="X25" s="148">
        <f>P25*POWER(10,12)/J25</f>
        <v>0.11000000000000003</v>
      </c>
    </row>
    <row r="26" spans="2:24" ht="40" x14ac:dyDescent="0.35">
      <c r="C26" s="86"/>
      <c r="D26" s="145">
        <f>E26/POWER(10,6)</f>
        <v>1E-4</v>
      </c>
      <c r="E26" s="146">
        <v>100</v>
      </c>
      <c r="F26" s="147">
        <v>10</v>
      </c>
      <c r="G26" s="146" t="s">
        <v>62</v>
      </c>
      <c r="H26" s="147" t="s">
        <v>62</v>
      </c>
      <c r="I26" s="146" t="s">
        <v>1064</v>
      </c>
      <c r="J26" s="145">
        <f>PI()/6*POWER(F26,2)*E26</f>
        <v>5235.9877559829883</v>
      </c>
      <c r="K26" s="154">
        <f>J26/POWER(10,6)</f>
        <v>5.2359877559829881E-3</v>
      </c>
      <c r="L26" s="145">
        <f>K26*Q$26</f>
        <v>5.7595865315812874E-3</v>
      </c>
      <c r="M26" s="145">
        <f>L26*R$26</f>
        <v>1.4398966328953218E-3</v>
      </c>
      <c r="N26" s="145">
        <f>M26*S$26</f>
        <v>5.7595865315812872E-4</v>
      </c>
      <c r="O26" s="155">
        <f>K26*T$26</f>
        <v>5.7595865315812872E-4</v>
      </c>
      <c r="P26" s="155">
        <f>N26/POWER(10,6)</f>
        <v>5.7595865315812867E-10</v>
      </c>
      <c r="Q26" s="150">
        <v>1.1000000000000001</v>
      </c>
      <c r="R26" s="150">
        <v>0.25</v>
      </c>
      <c r="S26" s="150">
        <v>0.4</v>
      </c>
      <c r="T26" s="150">
        <f>Q26*R26*S26</f>
        <v>0.11000000000000001</v>
      </c>
      <c r="U26" s="1" t="s">
        <v>1063</v>
      </c>
      <c r="V26" s="1" t="s">
        <v>1070</v>
      </c>
      <c r="W26" s="1"/>
      <c r="X26" s="148">
        <f>P26*POWER(10,12)/J26</f>
        <v>0.10999999999999999</v>
      </c>
    </row>
    <row r="28" spans="2:24" x14ac:dyDescent="0.35">
      <c r="C28" s="85" t="s">
        <v>433</v>
      </c>
      <c r="D28" s="145"/>
      <c r="E28" s="156" t="s">
        <v>499</v>
      </c>
      <c r="G28" s="85"/>
    </row>
    <row r="29" spans="2:24" x14ac:dyDescent="0.35">
      <c r="E29" s="156" t="s">
        <v>262</v>
      </c>
    </row>
    <row r="30" spans="2:24" x14ac:dyDescent="0.35">
      <c r="E30" s="156" t="s">
        <v>498</v>
      </c>
    </row>
    <row r="31" spans="2:24" x14ac:dyDescent="0.35">
      <c r="E31" s="156" t="s">
        <v>263</v>
      </c>
    </row>
    <row r="32" spans="2:24" x14ac:dyDescent="0.35">
      <c r="E32" s="156" t="s">
        <v>264</v>
      </c>
    </row>
    <row r="33" spans="3:5" x14ac:dyDescent="0.35">
      <c r="E33" s="156" t="s">
        <v>265</v>
      </c>
    </row>
    <row r="34" spans="3:5" x14ac:dyDescent="0.35">
      <c r="E34" s="157" t="s">
        <v>1065</v>
      </c>
    </row>
    <row r="35" spans="3:5" x14ac:dyDescent="0.35">
      <c r="E35" s="157" t="s">
        <v>1066</v>
      </c>
    </row>
    <row r="37" spans="3:5" x14ac:dyDescent="0.35">
      <c r="C37" s="85" t="s">
        <v>435</v>
      </c>
      <c r="D37" s="145"/>
      <c r="E37" s="156" t="s">
        <v>266</v>
      </c>
    </row>
    <row r="38" spans="3:5" x14ac:dyDescent="0.35">
      <c r="E38" s="156" t="s">
        <v>267</v>
      </c>
    </row>
    <row r="39" spans="3:5" x14ac:dyDescent="0.35">
      <c r="C39" s="85"/>
      <c r="D39" s="145"/>
    </row>
    <row r="40" spans="3:5" x14ac:dyDescent="0.35">
      <c r="C40" s="85" t="s">
        <v>439</v>
      </c>
      <c r="D40" s="145"/>
      <c r="E40" s="156" t="s">
        <v>269</v>
      </c>
    </row>
    <row r="41" spans="3:5" ht="15" customHeight="1" x14ac:dyDescent="0.35">
      <c r="C41" s="85"/>
      <c r="D41" s="145"/>
      <c r="E41" s="156" t="s">
        <v>270</v>
      </c>
    </row>
    <row r="42" spans="3:5" x14ac:dyDescent="0.35">
      <c r="C42" s="85"/>
      <c r="D42" s="145"/>
      <c r="E42" s="85" t="s">
        <v>1570</v>
      </c>
    </row>
    <row r="43" spans="3:5" x14ac:dyDescent="0.35">
      <c r="C43" s="85"/>
      <c r="D43" s="145"/>
    </row>
    <row r="44" spans="3:5" x14ac:dyDescent="0.35">
      <c r="C44" s="85" t="s">
        <v>440</v>
      </c>
      <c r="D44" s="145"/>
      <c r="E44" s="156" t="s">
        <v>441</v>
      </c>
    </row>
    <row r="45" spans="3:5" x14ac:dyDescent="0.35">
      <c r="E45" s="156" t="s">
        <v>271</v>
      </c>
    </row>
    <row r="47" spans="3:5" x14ac:dyDescent="0.35">
      <c r="C47" s="85" t="s">
        <v>437</v>
      </c>
      <c r="D47" s="145"/>
      <c r="E47" s="156" t="s">
        <v>268</v>
      </c>
    </row>
    <row r="48" spans="3:5" x14ac:dyDescent="0.35">
      <c r="C48" s="85"/>
      <c r="D48" s="145"/>
      <c r="E48" s="156" t="s">
        <v>1410</v>
      </c>
    </row>
    <row r="50" spans="3:7" ht="31.5" customHeight="1" x14ac:dyDescent="0.35">
      <c r="C50" s="194" t="s">
        <v>1411</v>
      </c>
      <c r="D50" s="194"/>
      <c r="E50" s="194"/>
    </row>
    <row r="51" spans="3:7" ht="21" x14ac:dyDescent="0.35">
      <c r="C51" s="150" t="s">
        <v>6</v>
      </c>
      <c r="D51" s="149" t="s">
        <v>1491</v>
      </c>
      <c r="E51" s="150" t="s">
        <v>1492</v>
      </c>
      <c r="F51" s="151" t="s">
        <v>1493</v>
      </c>
      <c r="G51" s="150"/>
    </row>
    <row r="52" spans="3:7" ht="20" x14ac:dyDescent="0.35">
      <c r="C52" s="146" t="s">
        <v>1094</v>
      </c>
      <c r="D52" s="163" t="s">
        <v>1384</v>
      </c>
      <c r="E52" s="146">
        <v>0.3</v>
      </c>
      <c r="F52" s="147">
        <v>0.3</v>
      </c>
    </row>
    <row r="53" spans="3:7" ht="20" x14ac:dyDescent="0.35">
      <c r="D53" s="163" t="s">
        <v>1385</v>
      </c>
      <c r="E53" s="146">
        <v>0.3</v>
      </c>
      <c r="F53" s="147">
        <v>0.3</v>
      </c>
    </row>
    <row r="54" spans="3:7" ht="20" x14ac:dyDescent="0.35">
      <c r="C54" s="146" t="s">
        <v>53</v>
      </c>
      <c r="D54" s="163" t="s">
        <v>1386</v>
      </c>
      <c r="E54" s="146">
        <v>0.3</v>
      </c>
      <c r="F54" s="147">
        <v>0.3</v>
      </c>
    </row>
    <row r="55" spans="3:7" x14ac:dyDescent="0.35">
      <c r="C55" s="150"/>
      <c r="D55" s="163" t="s">
        <v>1387</v>
      </c>
      <c r="E55" s="146">
        <v>0.3</v>
      </c>
      <c r="F55" s="147">
        <v>0.3</v>
      </c>
    </row>
    <row r="56" spans="3:7" ht="20" x14ac:dyDescent="0.35">
      <c r="D56" s="163" t="s">
        <v>1040</v>
      </c>
      <c r="E56" s="146">
        <v>0.17349999999999999</v>
      </c>
      <c r="F56" s="147">
        <v>0.17349999999999999</v>
      </c>
    </row>
    <row r="57" spans="3:7" ht="20" x14ac:dyDescent="0.35">
      <c r="D57" s="163" t="s">
        <v>1388</v>
      </c>
      <c r="E57" s="146">
        <v>0.3</v>
      </c>
      <c r="F57" s="147">
        <v>0.3</v>
      </c>
    </row>
    <row r="58" spans="3:7" ht="20" x14ac:dyDescent="0.35">
      <c r="D58" s="163" t="s">
        <v>1389</v>
      </c>
      <c r="E58" s="146">
        <v>0.3</v>
      </c>
      <c r="F58" s="147">
        <v>0.3</v>
      </c>
    </row>
    <row r="59" spans="3:7" ht="20" x14ac:dyDescent="0.35">
      <c r="D59" s="163" t="s">
        <v>1390</v>
      </c>
      <c r="E59" s="146">
        <v>0.3</v>
      </c>
      <c r="F59" s="147">
        <v>0.3</v>
      </c>
    </row>
    <row r="60" spans="3:7" ht="20" x14ac:dyDescent="0.35">
      <c r="D60" s="163" t="s">
        <v>1391</v>
      </c>
      <c r="E60" s="146">
        <v>0.3</v>
      </c>
      <c r="F60" s="147">
        <v>0.3</v>
      </c>
    </row>
    <row r="61" spans="3:7" ht="20" x14ac:dyDescent="0.35">
      <c r="C61" s="146" t="s">
        <v>1392</v>
      </c>
      <c r="D61" s="163" t="s">
        <v>1393</v>
      </c>
      <c r="E61" s="146">
        <v>0.22</v>
      </c>
      <c r="F61" s="147">
        <v>0.22</v>
      </c>
    </row>
    <row r="62" spans="3:7" ht="20" x14ac:dyDescent="0.35">
      <c r="D62" s="163" t="s">
        <v>1394</v>
      </c>
      <c r="E62" s="146">
        <v>0.22</v>
      </c>
      <c r="F62" s="147">
        <v>0.22</v>
      </c>
    </row>
    <row r="63" spans="3:7" ht="20" x14ac:dyDescent="0.35">
      <c r="C63" s="150"/>
      <c r="D63" s="163" t="s">
        <v>1395</v>
      </c>
      <c r="E63" s="146">
        <v>0.14000000000000001</v>
      </c>
      <c r="F63" s="147">
        <v>0.14000000000000001</v>
      </c>
    </row>
    <row r="64" spans="3:7" ht="20" x14ac:dyDescent="0.35">
      <c r="D64" s="163" t="s">
        <v>1283</v>
      </c>
      <c r="E64" s="146">
        <v>0.22</v>
      </c>
      <c r="F64" s="147">
        <v>0.22</v>
      </c>
    </row>
    <row r="65" spans="3:6" x14ac:dyDescent="0.35">
      <c r="D65" s="163" t="s">
        <v>1396</v>
      </c>
      <c r="E65" s="146">
        <v>0.22</v>
      </c>
      <c r="F65" s="147">
        <v>0.22</v>
      </c>
    </row>
    <row r="66" spans="3:6" x14ac:dyDescent="0.35">
      <c r="C66" s="150"/>
      <c r="D66" s="163" t="s">
        <v>1397</v>
      </c>
      <c r="E66" s="146">
        <v>0.14000000000000001</v>
      </c>
      <c r="F66" s="147">
        <v>0.14000000000000001</v>
      </c>
    </row>
    <row r="67" spans="3:6" ht="20" x14ac:dyDescent="0.35">
      <c r="D67" s="163" t="s">
        <v>1284</v>
      </c>
      <c r="E67" s="146">
        <v>0.22</v>
      </c>
      <c r="F67" s="147">
        <v>0.22</v>
      </c>
    </row>
    <row r="68" spans="3:6" ht="20" x14ac:dyDescent="0.35">
      <c r="C68" s="150"/>
      <c r="D68" s="163" t="s">
        <v>1398</v>
      </c>
      <c r="E68" s="146">
        <v>0.22</v>
      </c>
      <c r="F68" s="147">
        <v>0.22</v>
      </c>
    </row>
    <row r="69" spans="3:6" ht="20" x14ac:dyDescent="0.35">
      <c r="C69" s="146" t="s">
        <v>1399</v>
      </c>
      <c r="D69" s="163" t="s">
        <v>1282</v>
      </c>
      <c r="E69" s="146">
        <v>0.14000000000000001</v>
      </c>
      <c r="F69" s="147">
        <v>0.14000000000000001</v>
      </c>
    </row>
    <row r="70" spans="3:6" ht="20" x14ac:dyDescent="0.35">
      <c r="D70" s="163" t="s">
        <v>1400</v>
      </c>
      <c r="E70" s="146">
        <v>0.14000000000000001</v>
      </c>
      <c r="F70" s="147">
        <v>0.14000000000000001</v>
      </c>
    </row>
    <row r="71" spans="3:6" ht="20" x14ac:dyDescent="0.35">
      <c r="C71" s="146" t="s">
        <v>406</v>
      </c>
      <c r="D71" s="163" t="s">
        <v>1401</v>
      </c>
      <c r="E71" s="146">
        <v>0.3</v>
      </c>
      <c r="F71" s="147">
        <v>0.3</v>
      </c>
    </row>
    <row r="72" spans="3:6" ht="20" x14ac:dyDescent="0.35">
      <c r="C72" s="146" t="s">
        <v>1402</v>
      </c>
      <c r="D72" s="163" t="s">
        <v>1277</v>
      </c>
      <c r="E72" s="146">
        <v>0.22</v>
      </c>
      <c r="F72" s="147">
        <v>0.22</v>
      </c>
    </row>
    <row r="73" spans="3:6" ht="20" x14ac:dyDescent="0.35">
      <c r="C73" s="146" t="s">
        <v>1403</v>
      </c>
      <c r="D73" s="163" t="s">
        <v>1404</v>
      </c>
      <c r="E73" s="146">
        <v>0.14000000000000001</v>
      </c>
      <c r="F73" s="147">
        <v>0.14000000000000001</v>
      </c>
    </row>
    <row r="74" spans="3:6" ht="20" x14ac:dyDescent="0.35">
      <c r="D74" s="155" t="s">
        <v>1405</v>
      </c>
      <c r="E74" s="146">
        <v>0.14000000000000001</v>
      </c>
      <c r="F74" s="147">
        <v>0.14000000000000001</v>
      </c>
    </row>
    <row r="75" spans="3:6" ht="20" x14ac:dyDescent="0.35">
      <c r="D75" s="155" t="s">
        <v>1406</v>
      </c>
      <c r="E75" s="146">
        <v>0.14000000000000001</v>
      </c>
      <c r="F75" s="147">
        <v>0.22</v>
      </c>
    </row>
    <row r="76" spans="3:6" ht="20" x14ac:dyDescent="0.35">
      <c r="D76" s="155" t="s">
        <v>1407</v>
      </c>
      <c r="E76" s="146">
        <v>0.14000000000000001</v>
      </c>
      <c r="F76" s="147">
        <v>0.22</v>
      </c>
    </row>
    <row r="77" spans="3:6" x14ac:dyDescent="0.35">
      <c r="D77" s="155" t="s">
        <v>1403</v>
      </c>
      <c r="E77" s="146">
        <v>0.14000000000000001</v>
      </c>
      <c r="F77" s="147">
        <v>0.14000000000000001</v>
      </c>
    </row>
  </sheetData>
  <sortState xmlns:xlrd2="http://schemas.microsoft.com/office/spreadsheetml/2017/richdata2" ref="M51:AA51">
    <sortCondition ref="M51"/>
  </sortState>
  <mergeCells count="2">
    <mergeCell ref="C50:E50"/>
    <mergeCell ref="B4:C4"/>
  </mergeCells>
  <phoneticPr fontId="4" type="noConversion"/>
  <hyperlinks>
    <hyperlink ref="E34" r:id="rId1" display="https://doi.pangaea.de/10.1594/PANGAEA.777384" xr:uid="{D3E9C1B3-9C4B-4BB1-84B2-875798F5FAEF}"/>
    <hyperlink ref="E35" r:id="rId2" display="https://datadryad.org/dataset/doi:10.5061/dryad.280gb5mnt" xr:uid="{86A69639-B4BC-42D9-BCAB-614722E28F20}"/>
  </hyperlinks>
  <pageMargins left="0.25" right="0.25" top="0.75" bottom="0.75" header="0.3" footer="0.3"/>
  <pageSetup paperSize="9" scale="55"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A9C52-C493-42CA-A611-25A19A04E89E}">
  <dimension ref="A2:AY99"/>
  <sheetViews>
    <sheetView workbookViewId="0">
      <selection activeCell="A78" sqref="A78:XFD83"/>
    </sheetView>
  </sheetViews>
  <sheetFormatPr defaultRowHeight="14.5" x14ac:dyDescent="0.35"/>
  <cols>
    <col min="1" max="1" width="4.54296875" customWidth="1"/>
    <col min="2" max="2" width="8.7265625" style="77"/>
    <col min="3" max="8" width="8.7265625" style="68"/>
    <col min="9" max="10" width="5.26953125" style="68" customWidth="1"/>
    <col min="11" max="11" width="3.54296875" style="82" customWidth="1"/>
    <col min="12" max="14" width="2.81640625" style="75" bestFit="1" customWidth="1"/>
    <col min="15" max="16" width="6.26953125" style="68" customWidth="1"/>
    <col min="17" max="17" width="3.90625" style="83" customWidth="1"/>
    <col min="18" max="19" width="4.7265625" style="68" customWidth="1"/>
    <col min="20" max="21" width="5.453125" style="68" customWidth="1"/>
    <col min="22" max="22" width="1.81640625" style="68" customWidth="1"/>
    <col min="23" max="23" width="5.453125" style="68" customWidth="1"/>
    <col min="24" max="24" width="5.453125" style="114" customWidth="1"/>
    <col min="25" max="28" width="5.453125" style="68" customWidth="1"/>
    <col min="30" max="31" width="5.453125" style="68" customWidth="1"/>
    <col min="32" max="32" width="5.453125" style="114" customWidth="1"/>
    <col min="33" max="34" width="5.453125" style="68" customWidth="1"/>
    <col min="35" max="35" width="13.1796875" style="69" bestFit="1" customWidth="1"/>
    <col min="36" max="36" width="2" style="69" customWidth="1"/>
    <col min="37" max="37" width="9.453125" style="68" bestFit="1" customWidth="1"/>
    <col min="38" max="38" width="5.26953125" style="68" customWidth="1"/>
    <col min="39" max="39" width="9.453125" style="68" bestFit="1" customWidth="1"/>
    <col min="40" max="50" width="8.7265625" style="68"/>
    <col min="51" max="51" width="8.7265625" style="66"/>
  </cols>
  <sheetData>
    <row r="2" spans="3:39" ht="16" x14ac:dyDescent="0.35">
      <c r="L2" s="76" t="s">
        <v>528</v>
      </c>
      <c r="T2" s="77" t="s">
        <v>902</v>
      </c>
      <c r="W2" s="77" t="s">
        <v>272</v>
      </c>
      <c r="AI2" s="69" t="s">
        <v>539</v>
      </c>
    </row>
    <row r="3" spans="3:39" ht="40" x14ac:dyDescent="0.35">
      <c r="C3" s="119" t="s">
        <v>6</v>
      </c>
      <c r="D3" s="119" t="s">
        <v>21</v>
      </c>
      <c r="E3" s="120" t="s">
        <v>273</v>
      </c>
      <c r="F3" s="119" t="s">
        <v>274</v>
      </c>
      <c r="G3" s="119" t="s">
        <v>501</v>
      </c>
      <c r="H3" s="121" t="s">
        <v>502</v>
      </c>
      <c r="I3" s="122" t="s">
        <v>510</v>
      </c>
      <c r="J3" s="122" t="s">
        <v>865</v>
      </c>
      <c r="L3" s="75" t="s">
        <v>284</v>
      </c>
      <c r="M3" s="75" t="s">
        <v>285</v>
      </c>
      <c r="N3" s="75" t="s">
        <v>526</v>
      </c>
      <c r="O3" s="68" t="s">
        <v>275</v>
      </c>
      <c r="P3" s="68" t="s">
        <v>535</v>
      </c>
      <c r="Q3" s="83" t="s">
        <v>715</v>
      </c>
      <c r="R3" s="68" t="s">
        <v>903</v>
      </c>
      <c r="T3" s="68" t="s">
        <v>276</v>
      </c>
      <c r="U3" s="68" t="s">
        <v>277</v>
      </c>
      <c r="W3" s="68" t="s">
        <v>278</v>
      </c>
      <c r="X3" s="114" t="s">
        <v>279</v>
      </c>
      <c r="Y3" s="68" t="s">
        <v>280</v>
      </c>
      <c r="Z3" s="68" t="s">
        <v>281</v>
      </c>
      <c r="AA3" s="68" t="s">
        <v>282</v>
      </c>
      <c r="AB3" s="68" t="s">
        <v>283</v>
      </c>
      <c r="AD3" s="68" t="s">
        <v>901</v>
      </c>
      <c r="AE3" s="68" t="s">
        <v>900</v>
      </c>
      <c r="AF3" s="114" t="s">
        <v>905</v>
      </c>
      <c r="AG3" s="68" t="s">
        <v>904</v>
      </c>
      <c r="AI3" s="78" t="s">
        <v>899</v>
      </c>
      <c r="AJ3" s="78"/>
      <c r="AK3" s="68" t="s">
        <v>533</v>
      </c>
      <c r="AL3" s="68" t="s">
        <v>534</v>
      </c>
      <c r="AM3" s="68" t="s">
        <v>548</v>
      </c>
    </row>
    <row r="4" spans="3:39" x14ac:dyDescent="0.35">
      <c r="C4" s="62" t="s">
        <v>23</v>
      </c>
      <c r="D4" s="63"/>
      <c r="E4" s="64"/>
      <c r="F4" s="63"/>
      <c r="G4" s="63"/>
      <c r="H4" s="65"/>
      <c r="I4" s="67"/>
      <c r="J4" s="67"/>
      <c r="AI4" s="71" t="e">
        <f t="shared" ref="AI4:AI35" si="0">(AA4*POWER(10,6))/W4</f>
        <v>#DIV/0!</v>
      </c>
    </row>
    <row r="5" spans="3:39" ht="40" x14ac:dyDescent="0.35">
      <c r="C5" s="63" t="s">
        <v>286</v>
      </c>
      <c r="D5" s="63" t="s">
        <v>557</v>
      </c>
      <c r="E5" s="64" t="s">
        <v>529</v>
      </c>
      <c r="F5" s="63" t="s">
        <v>500</v>
      </c>
      <c r="G5" s="63">
        <v>0.05</v>
      </c>
      <c r="H5" s="65">
        <v>1.6605399999999999E-17</v>
      </c>
      <c r="I5" s="67"/>
      <c r="J5" s="67"/>
      <c r="L5" s="75" t="s">
        <v>62</v>
      </c>
      <c r="M5" s="75" t="s">
        <v>62</v>
      </c>
      <c r="N5" s="75" t="s">
        <v>62</v>
      </c>
      <c r="O5" s="75" t="s">
        <v>62</v>
      </c>
      <c r="P5" s="75" t="s">
        <v>62</v>
      </c>
      <c r="T5" s="75" t="s">
        <v>62</v>
      </c>
      <c r="U5" s="75" t="s">
        <v>62</v>
      </c>
      <c r="V5" s="75"/>
      <c r="W5" s="75" t="s">
        <v>62</v>
      </c>
      <c r="X5" s="115" t="s">
        <v>62</v>
      </c>
      <c r="Y5" s="75" t="s">
        <v>62</v>
      </c>
      <c r="Z5" s="75" t="s">
        <v>62</v>
      </c>
      <c r="AA5" s="75" t="s">
        <v>62</v>
      </c>
      <c r="AB5" s="75" t="s">
        <v>62</v>
      </c>
      <c r="AD5" s="75"/>
      <c r="AE5" s="75"/>
      <c r="AF5" s="115"/>
      <c r="AG5" s="75"/>
      <c r="AH5" s="75"/>
      <c r="AI5" s="71" t="e">
        <f t="shared" si="0"/>
        <v>#VALUE!</v>
      </c>
      <c r="AJ5" s="78"/>
    </row>
    <row r="6" spans="3:39" ht="16" x14ac:dyDescent="0.35">
      <c r="C6" s="63" t="s">
        <v>289</v>
      </c>
      <c r="D6" s="63" t="s">
        <v>495</v>
      </c>
      <c r="E6" s="63" t="s">
        <v>547</v>
      </c>
      <c r="F6" s="63" t="s">
        <v>257</v>
      </c>
      <c r="G6" s="63">
        <v>0.1</v>
      </c>
      <c r="H6" s="63" t="s">
        <v>62</v>
      </c>
      <c r="I6" s="67"/>
      <c r="J6" s="67"/>
      <c r="L6" s="75">
        <v>1.1000000000000001</v>
      </c>
      <c r="M6" s="75" t="s">
        <v>62</v>
      </c>
      <c r="N6" s="75" t="s">
        <v>62</v>
      </c>
      <c r="O6" s="68" t="s">
        <v>62</v>
      </c>
      <c r="P6" s="68" t="s">
        <v>62</v>
      </c>
      <c r="T6" s="68">
        <v>0.05</v>
      </c>
      <c r="U6" s="68">
        <v>0.05</v>
      </c>
      <c r="W6" s="70">
        <f>4/3*PI()*(T6/2)*POWER(U6,2)</f>
        <v>2.6179938779914946E-4</v>
      </c>
      <c r="X6" s="116">
        <f>W6/POWER(10,6)</f>
        <v>2.6179938779914948E-10</v>
      </c>
      <c r="Y6" s="70">
        <f>X6*L6</f>
        <v>2.8797932657906444E-10</v>
      </c>
      <c r="Z6" s="75" t="s">
        <v>62</v>
      </c>
      <c r="AA6" s="75" t="s">
        <v>62</v>
      </c>
      <c r="AB6" s="75" t="s">
        <v>62</v>
      </c>
      <c r="AD6" s="75"/>
      <c r="AE6" s="75"/>
      <c r="AF6" s="115"/>
      <c r="AG6" s="75"/>
      <c r="AH6" s="75"/>
      <c r="AI6" s="71" t="e">
        <f t="shared" si="0"/>
        <v>#VALUE!</v>
      </c>
      <c r="AJ6" s="78"/>
    </row>
    <row r="7" spans="3:39" ht="73" x14ac:dyDescent="0.35">
      <c r="C7" s="63" t="s">
        <v>286</v>
      </c>
      <c r="D7" s="63" t="s">
        <v>287</v>
      </c>
      <c r="E7" s="64" t="s">
        <v>549</v>
      </c>
      <c r="F7" s="63" t="s">
        <v>288</v>
      </c>
      <c r="G7" s="63">
        <v>0.05</v>
      </c>
      <c r="H7" s="65">
        <v>1.6605399999999999E-17</v>
      </c>
      <c r="I7" s="67"/>
      <c r="J7" s="67"/>
      <c r="L7" s="75" t="s">
        <v>62</v>
      </c>
      <c r="M7" s="75" t="s">
        <v>62</v>
      </c>
      <c r="N7" s="75" t="s">
        <v>62</v>
      </c>
      <c r="O7" s="75" t="s">
        <v>62</v>
      </c>
      <c r="P7" s="75" t="s">
        <v>62</v>
      </c>
      <c r="T7" s="75" t="s">
        <v>62</v>
      </c>
      <c r="U7" s="75" t="s">
        <v>62</v>
      </c>
      <c r="V7" s="75"/>
      <c r="W7" s="75" t="s">
        <v>62</v>
      </c>
      <c r="X7" s="115" t="s">
        <v>62</v>
      </c>
      <c r="Y7" s="75" t="s">
        <v>62</v>
      </c>
      <c r="Z7" s="75" t="s">
        <v>62</v>
      </c>
      <c r="AA7" s="75" t="s">
        <v>62</v>
      </c>
      <c r="AB7" s="75" t="s">
        <v>62</v>
      </c>
      <c r="AD7" s="75"/>
      <c r="AE7" s="75"/>
      <c r="AF7" s="115"/>
      <c r="AG7" s="75"/>
      <c r="AH7" s="75"/>
      <c r="AI7" s="71" t="e">
        <f t="shared" si="0"/>
        <v>#VALUE!</v>
      </c>
      <c r="AJ7" s="78"/>
    </row>
    <row r="8" spans="3:39" ht="65.5" customHeight="1" x14ac:dyDescent="0.35">
      <c r="C8" s="63" t="s">
        <v>396</v>
      </c>
      <c r="D8" s="63" t="s">
        <v>287</v>
      </c>
      <c r="E8" s="64" t="s">
        <v>290</v>
      </c>
      <c r="F8" s="63" t="s">
        <v>288</v>
      </c>
      <c r="G8" s="63">
        <v>0.05</v>
      </c>
      <c r="H8" s="65" t="s">
        <v>62</v>
      </c>
      <c r="I8" s="67"/>
      <c r="J8" s="67"/>
      <c r="L8" s="75" t="s">
        <v>62</v>
      </c>
      <c r="M8" s="75" t="s">
        <v>62</v>
      </c>
      <c r="N8" s="75" t="s">
        <v>62</v>
      </c>
      <c r="O8" s="75" t="s">
        <v>62</v>
      </c>
      <c r="P8" s="75" t="s">
        <v>62</v>
      </c>
      <c r="T8" s="75" t="s">
        <v>62</v>
      </c>
      <c r="U8" s="75" t="s">
        <v>62</v>
      </c>
      <c r="V8" s="75"/>
      <c r="W8" s="75" t="s">
        <v>62</v>
      </c>
      <c r="X8" s="115" t="s">
        <v>62</v>
      </c>
      <c r="Y8" s="75" t="s">
        <v>62</v>
      </c>
      <c r="Z8" s="75" t="s">
        <v>62</v>
      </c>
      <c r="AA8" s="75" t="s">
        <v>62</v>
      </c>
      <c r="AB8" s="75" t="s">
        <v>62</v>
      </c>
      <c r="AD8" s="75"/>
      <c r="AE8" s="75"/>
      <c r="AF8" s="115"/>
      <c r="AG8" s="75"/>
      <c r="AH8" s="75"/>
      <c r="AI8" s="71" t="e">
        <f t="shared" si="0"/>
        <v>#VALUE!</v>
      </c>
      <c r="AJ8" s="78"/>
    </row>
    <row r="9" spans="3:39" ht="40" x14ac:dyDescent="0.35">
      <c r="C9" s="63" t="s">
        <v>291</v>
      </c>
      <c r="D9" s="63" t="s">
        <v>287</v>
      </c>
      <c r="E9" s="64"/>
      <c r="F9" s="63" t="s">
        <v>257</v>
      </c>
      <c r="G9" s="63">
        <v>0.05</v>
      </c>
      <c r="H9" s="65">
        <f>AB9</f>
        <v>5.7595865315812885E-16</v>
      </c>
      <c r="I9" s="98"/>
      <c r="J9" s="100"/>
      <c r="L9" s="75">
        <v>2.2000000000000002</v>
      </c>
      <c r="M9" s="75">
        <v>1</v>
      </c>
      <c r="N9" s="75">
        <v>1</v>
      </c>
      <c r="O9" s="75">
        <f>L9</f>
        <v>2.2000000000000002</v>
      </c>
      <c r="P9" s="75" t="s">
        <v>62</v>
      </c>
      <c r="T9" s="68">
        <v>0.05</v>
      </c>
      <c r="U9" s="68">
        <v>0.05</v>
      </c>
      <c r="W9" s="70">
        <f>4/3*PI()*(T9/2)*POWER(U9,2)</f>
        <v>2.6179938779914946E-4</v>
      </c>
      <c r="X9" s="116">
        <f>W9/POWER(10,6)</f>
        <v>2.6179938779914948E-10</v>
      </c>
      <c r="Y9" s="70">
        <f>X9*L9</f>
        <v>5.7595865315812887E-10</v>
      </c>
      <c r="Z9" s="74">
        <f>Y9*M9</f>
        <v>5.7595865315812887E-10</v>
      </c>
      <c r="AA9" s="74">
        <f>Z9*N9</f>
        <v>5.7595865315812887E-10</v>
      </c>
      <c r="AB9" s="74">
        <f>AA9/POWER(10,6)</f>
        <v>5.7595865315812885E-16</v>
      </c>
      <c r="AD9" s="75">
        <f>AB9*POWER(10,15)</f>
        <v>0.57595865315812889</v>
      </c>
      <c r="AE9" s="74"/>
      <c r="AF9" s="118"/>
      <c r="AG9" s="74"/>
      <c r="AH9" s="74"/>
      <c r="AI9" s="71">
        <f t="shared" si="0"/>
        <v>2.2000000000000002</v>
      </c>
      <c r="AJ9" s="78"/>
    </row>
    <row r="10" spans="3:39" x14ac:dyDescent="0.35">
      <c r="C10" s="62" t="s">
        <v>292</v>
      </c>
      <c r="D10" s="63"/>
      <c r="E10" s="64"/>
      <c r="F10" s="63"/>
      <c r="G10" s="63"/>
      <c r="H10" s="65"/>
      <c r="I10" s="67"/>
      <c r="J10" s="67"/>
      <c r="AI10" s="71" t="e">
        <f t="shared" si="0"/>
        <v>#DIV/0!</v>
      </c>
      <c r="AJ10" s="78"/>
    </row>
    <row r="11" spans="3:39" ht="34" x14ac:dyDescent="0.35">
      <c r="C11" s="63" t="s">
        <v>53</v>
      </c>
      <c r="D11" s="63" t="s">
        <v>305</v>
      </c>
      <c r="E11" s="64" t="s">
        <v>518</v>
      </c>
      <c r="F11" s="63" t="s">
        <v>288</v>
      </c>
      <c r="G11" s="63">
        <v>1</v>
      </c>
      <c r="H11" s="65">
        <f>AB11</f>
        <v>4.6076692252650288E-13</v>
      </c>
      <c r="I11" s="67"/>
      <c r="J11" s="100"/>
      <c r="L11" s="75" t="s">
        <v>62</v>
      </c>
      <c r="M11" s="75" t="s">
        <v>62</v>
      </c>
      <c r="N11" s="75" t="s">
        <v>62</v>
      </c>
      <c r="O11" s="75" t="s">
        <v>62</v>
      </c>
      <c r="P11" s="68">
        <f>POWER(10,-12)</f>
        <v>9.9999999999999998E-13</v>
      </c>
      <c r="R11" s="70"/>
      <c r="T11" s="68">
        <v>1</v>
      </c>
      <c r="U11" s="68">
        <v>1</v>
      </c>
      <c r="W11" s="70">
        <f>4/3*PI()*(T11/2)*POWER(U11,2)</f>
        <v>2.0943951023931953</v>
      </c>
      <c r="X11" s="116" t="s">
        <v>62</v>
      </c>
      <c r="Y11" s="69" t="s">
        <v>62</v>
      </c>
      <c r="Z11" s="74" t="s">
        <v>62</v>
      </c>
      <c r="AA11" s="74">
        <f>AB11*POWER(10,6)</f>
        <v>4.6076692252650289E-7</v>
      </c>
      <c r="AB11" s="74">
        <f>0.22*(W11*P11)</f>
        <v>4.6076692252650288E-13</v>
      </c>
      <c r="AD11" s="75"/>
      <c r="AE11" s="75">
        <f>AB11*POWER(10,12)</f>
        <v>0.46076692252650286</v>
      </c>
      <c r="AF11" s="115"/>
      <c r="AG11" s="75"/>
      <c r="AH11" s="75"/>
      <c r="AI11" s="69">
        <f t="shared" si="0"/>
        <v>0.21999999999999995</v>
      </c>
      <c r="AJ11" s="78"/>
      <c r="AK11" s="68" t="s">
        <v>569</v>
      </c>
    </row>
    <row r="12" spans="3:39" ht="35" x14ac:dyDescent="0.35">
      <c r="C12" s="63" t="s">
        <v>53</v>
      </c>
      <c r="D12" s="63" t="s">
        <v>303</v>
      </c>
      <c r="E12" s="64" t="s">
        <v>517</v>
      </c>
      <c r="F12" s="63" t="s">
        <v>304</v>
      </c>
      <c r="G12" s="63">
        <v>1</v>
      </c>
      <c r="H12" s="65">
        <f>AB12</f>
        <v>1.1728612573401891E-12</v>
      </c>
      <c r="I12" s="67"/>
      <c r="J12" s="100"/>
      <c r="L12" s="75" t="s">
        <v>62</v>
      </c>
      <c r="M12" s="75" t="s">
        <v>62</v>
      </c>
      <c r="N12" s="75" t="s">
        <v>62</v>
      </c>
      <c r="O12" s="75" t="s">
        <v>62</v>
      </c>
      <c r="P12" s="74">
        <f>5.6*POWER(10,-13)</f>
        <v>5.5999999999999994E-13</v>
      </c>
      <c r="T12" s="68">
        <v>1</v>
      </c>
      <c r="U12" s="68">
        <v>1</v>
      </c>
      <c r="W12" s="70">
        <f>4/3*PI()*(T12/2)*POWER(U12,2)</f>
        <v>2.0943951023931953</v>
      </c>
      <c r="X12" s="116" t="s">
        <v>62</v>
      </c>
      <c r="Y12" s="75" t="s">
        <v>62</v>
      </c>
      <c r="Z12" s="75" t="s">
        <v>62</v>
      </c>
      <c r="AA12" s="74" t="s">
        <v>62</v>
      </c>
      <c r="AB12" s="68">
        <f>P12*W12</f>
        <v>1.1728612573401891E-12</v>
      </c>
      <c r="AD12" s="75"/>
      <c r="AE12" s="75">
        <f>AB12*POWER(10,12)</f>
        <v>1.1728612573401891</v>
      </c>
      <c r="AF12" s="115"/>
      <c r="AG12" s="75"/>
      <c r="AH12" s="75"/>
      <c r="AI12" s="71" t="e">
        <f t="shared" si="0"/>
        <v>#VALUE!</v>
      </c>
      <c r="AJ12" s="78"/>
      <c r="AK12" s="68" t="s">
        <v>570</v>
      </c>
    </row>
    <row r="13" spans="3:39" ht="17" x14ac:dyDescent="0.35">
      <c r="C13" s="63" t="s">
        <v>53</v>
      </c>
      <c r="D13" s="63" t="s">
        <v>63</v>
      </c>
      <c r="E13" s="64" t="s">
        <v>531</v>
      </c>
      <c r="F13" s="63" t="s">
        <v>62</v>
      </c>
      <c r="G13" s="63">
        <v>1</v>
      </c>
      <c r="H13" s="65">
        <v>2E-14</v>
      </c>
      <c r="I13" s="67"/>
      <c r="J13" s="67"/>
      <c r="W13" s="70"/>
      <c r="X13" s="116"/>
      <c r="Y13" s="75"/>
      <c r="Z13" s="75"/>
      <c r="AA13" s="74"/>
      <c r="AB13" s="74"/>
      <c r="AD13" s="74"/>
      <c r="AE13" s="74"/>
      <c r="AF13" s="118"/>
      <c r="AG13" s="74"/>
      <c r="AH13" s="74"/>
      <c r="AI13" s="71" t="e">
        <f t="shared" si="0"/>
        <v>#DIV/0!</v>
      </c>
      <c r="AJ13" s="78"/>
    </row>
    <row r="14" spans="3:39" ht="34" x14ac:dyDescent="0.35">
      <c r="C14" s="63" t="s">
        <v>53</v>
      </c>
      <c r="D14" s="63" t="s">
        <v>298</v>
      </c>
      <c r="E14" s="64" t="s">
        <v>514</v>
      </c>
      <c r="F14" s="63" t="s">
        <v>288</v>
      </c>
      <c r="G14" s="63">
        <v>1</v>
      </c>
      <c r="H14" s="65">
        <f>AB14</f>
        <v>6.4926248174189057E-13</v>
      </c>
      <c r="I14" s="67"/>
      <c r="J14" s="100"/>
      <c r="L14" s="75" t="s">
        <v>62</v>
      </c>
      <c r="M14" s="75" t="s">
        <v>62</v>
      </c>
      <c r="N14" s="75" t="s">
        <v>62</v>
      </c>
      <c r="O14" s="68">
        <v>310</v>
      </c>
      <c r="P14" s="68">
        <f>POWER(10,-15)</f>
        <v>1.0000000000000001E-15</v>
      </c>
      <c r="T14" s="68">
        <v>1</v>
      </c>
      <c r="U14" s="68">
        <v>1</v>
      </c>
      <c r="W14" s="70">
        <f>4/3*PI()*(T14/2)*POWER(U14,2)</f>
        <v>2.0943951023931953</v>
      </c>
      <c r="X14" s="116">
        <f>W14/POWER(10,6)</f>
        <v>2.0943951023931953E-6</v>
      </c>
      <c r="Y14" s="75" t="s">
        <v>62</v>
      </c>
      <c r="Z14" s="75" t="s">
        <v>62</v>
      </c>
      <c r="AA14" s="74" t="s">
        <v>62</v>
      </c>
      <c r="AB14" s="74">
        <f>O14*W14*P14</f>
        <v>6.4926248174189057E-13</v>
      </c>
      <c r="AD14" s="75"/>
      <c r="AE14" s="75">
        <f>AB14*POWER(10,12)</f>
        <v>0.64926248174189061</v>
      </c>
      <c r="AF14" s="115"/>
      <c r="AG14" s="75"/>
      <c r="AH14" s="75"/>
      <c r="AI14" s="71" t="e">
        <f t="shared" si="0"/>
        <v>#VALUE!</v>
      </c>
      <c r="AJ14" s="78"/>
    </row>
    <row r="15" spans="3:39" ht="43" x14ac:dyDescent="0.35">
      <c r="C15" s="63" t="s">
        <v>295</v>
      </c>
      <c r="D15" s="63" t="s">
        <v>296</v>
      </c>
      <c r="E15" s="64" t="s">
        <v>512</v>
      </c>
      <c r="F15" s="63" t="s">
        <v>257</v>
      </c>
      <c r="G15" s="63">
        <v>1</v>
      </c>
      <c r="H15" s="65">
        <f>AB15</f>
        <v>2.5342180738957663E-13</v>
      </c>
      <c r="I15" s="67"/>
      <c r="J15" s="100"/>
      <c r="L15" s="75" t="s">
        <v>62</v>
      </c>
      <c r="M15" s="75" t="s">
        <v>62</v>
      </c>
      <c r="N15" s="75" t="s">
        <v>62</v>
      </c>
      <c r="O15" s="68">
        <f>1.21*POWER(10,-13)</f>
        <v>1.2099999999999999E-13</v>
      </c>
      <c r="P15" s="68" t="s">
        <v>62</v>
      </c>
      <c r="T15" s="68">
        <v>1</v>
      </c>
      <c r="U15" s="68">
        <v>1</v>
      </c>
      <c r="W15" s="70">
        <f>4/3*PI()*(T15/2)*POWER(U15,2)</f>
        <v>2.0943951023931953</v>
      </c>
      <c r="X15" s="116">
        <f>W15/POWER(10,6)</f>
        <v>2.0943951023931953E-6</v>
      </c>
      <c r="Y15" s="75" t="s">
        <v>62</v>
      </c>
      <c r="Z15" s="75" t="s">
        <v>62</v>
      </c>
      <c r="AA15" s="74" t="s">
        <v>62</v>
      </c>
      <c r="AB15" s="74">
        <f>O15*W15</f>
        <v>2.5342180738957663E-13</v>
      </c>
      <c r="AD15" s="74"/>
      <c r="AE15" s="75">
        <f>AB15*POWER(10,12)</f>
        <v>0.25342180738957665</v>
      </c>
      <c r="AF15" s="115"/>
      <c r="AG15" s="75"/>
      <c r="AH15" s="75"/>
      <c r="AI15" s="71" t="e">
        <f t="shared" si="0"/>
        <v>#VALUE!</v>
      </c>
      <c r="AJ15" s="78"/>
    </row>
    <row r="16" spans="3:39" ht="40" x14ac:dyDescent="0.35">
      <c r="C16" s="63" t="s">
        <v>53</v>
      </c>
      <c r="D16" s="63" t="s">
        <v>87</v>
      </c>
      <c r="E16" s="64" t="s">
        <v>503</v>
      </c>
      <c r="F16" s="63" t="s">
        <v>62</v>
      </c>
      <c r="G16" s="63">
        <v>1</v>
      </c>
      <c r="H16" s="65">
        <v>2.0000000000000003E-14</v>
      </c>
      <c r="I16" s="67"/>
      <c r="J16" s="67"/>
      <c r="L16" s="75" t="s">
        <v>62</v>
      </c>
      <c r="M16" s="75" t="s">
        <v>62</v>
      </c>
      <c r="N16" s="75" t="s">
        <v>62</v>
      </c>
      <c r="O16" s="75" t="s">
        <v>62</v>
      </c>
      <c r="P16" s="75" t="s">
        <v>62</v>
      </c>
      <c r="T16" s="75" t="s">
        <v>62</v>
      </c>
      <c r="U16" s="75" t="s">
        <v>62</v>
      </c>
      <c r="V16" s="75"/>
      <c r="W16" s="75" t="s">
        <v>62</v>
      </c>
      <c r="X16" s="115" t="s">
        <v>62</v>
      </c>
      <c r="Y16" s="75" t="s">
        <v>62</v>
      </c>
      <c r="Z16" s="75" t="s">
        <v>62</v>
      </c>
      <c r="AA16" s="75" t="s">
        <v>62</v>
      </c>
      <c r="AB16" s="75" t="s">
        <v>62</v>
      </c>
      <c r="AD16" s="75"/>
      <c r="AE16" s="75"/>
      <c r="AF16" s="115"/>
      <c r="AG16" s="75"/>
      <c r="AH16" s="75"/>
      <c r="AI16" s="71" t="e">
        <f t="shared" si="0"/>
        <v>#VALUE!</v>
      </c>
      <c r="AJ16" s="78"/>
    </row>
    <row r="17" spans="3:40" ht="50" x14ac:dyDescent="0.35">
      <c r="C17" s="63" t="s">
        <v>301</v>
      </c>
      <c r="D17" s="63" t="s">
        <v>77</v>
      </c>
      <c r="E17" s="64" t="s">
        <v>516</v>
      </c>
      <c r="F17" s="63" t="s">
        <v>302</v>
      </c>
      <c r="G17" s="63">
        <v>1</v>
      </c>
      <c r="H17" s="65">
        <f t="shared" ref="H17:H25" si="1">AB17</f>
        <v>1.246803682957832E-13</v>
      </c>
      <c r="I17" s="67"/>
      <c r="J17" s="100"/>
      <c r="L17" s="75" t="s">
        <v>62</v>
      </c>
      <c r="M17" s="75" t="s">
        <v>62</v>
      </c>
      <c r="N17" s="75" t="s">
        <v>62</v>
      </c>
      <c r="O17" s="75" t="s">
        <v>62</v>
      </c>
      <c r="P17" s="74">
        <f>POWER(10,-9)</f>
        <v>1.0000000000000001E-9</v>
      </c>
      <c r="T17" s="68">
        <v>1</v>
      </c>
      <c r="U17" s="68">
        <v>1</v>
      </c>
      <c r="W17" s="70">
        <f>((POWER(U17,2)*PI()/4)*(T17-U17)+PI()*POWER(U17,3)/6)</f>
        <v>0.52359877559829882</v>
      </c>
      <c r="X17" s="116">
        <f>W17/POWER(10,6)</f>
        <v>5.2359877559829882E-7</v>
      </c>
      <c r="Y17" s="69" t="s">
        <v>62</v>
      </c>
      <c r="Z17" s="68">
        <f>(435*POWER(W17,0.86))*P17</f>
        <v>2.4936073659156641E-7</v>
      </c>
      <c r="AA17" s="74">
        <f>Z17*0.5</f>
        <v>1.246803682957832E-7</v>
      </c>
      <c r="AB17" s="74">
        <f>AA17/1000000</f>
        <v>1.246803682957832E-13</v>
      </c>
      <c r="AD17" s="74"/>
      <c r="AE17" s="75">
        <f>AB17*POWER(10,12)</f>
        <v>0.12468036829578319</v>
      </c>
      <c r="AF17" s="115"/>
      <c r="AG17" s="75"/>
      <c r="AH17" s="75"/>
      <c r="AI17" s="71">
        <f t="shared" si="0"/>
        <v>0.23812196304950314</v>
      </c>
      <c r="AJ17" s="78"/>
      <c r="AL17" s="74"/>
      <c r="AM17" s="74"/>
    </row>
    <row r="18" spans="3:40" ht="50" x14ac:dyDescent="0.35">
      <c r="C18" s="63" t="s">
        <v>53</v>
      </c>
      <c r="D18" s="63" t="s">
        <v>297</v>
      </c>
      <c r="E18" s="64" t="s">
        <v>513</v>
      </c>
      <c r="F18" s="63" t="s">
        <v>288</v>
      </c>
      <c r="G18" s="63">
        <v>1</v>
      </c>
      <c r="H18" s="65">
        <f t="shared" si="1"/>
        <v>2.0943951023931954E-13</v>
      </c>
      <c r="I18" s="67"/>
      <c r="J18" s="100"/>
      <c r="L18" s="75" t="s">
        <v>62</v>
      </c>
      <c r="M18" s="75" t="s">
        <v>62</v>
      </c>
      <c r="N18" s="75" t="s">
        <v>62</v>
      </c>
      <c r="O18" s="68">
        <v>100</v>
      </c>
      <c r="P18" s="68">
        <f>POWER(10,-15)</f>
        <v>1.0000000000000001E-15</v>
      </c>
      <c r="T18" s="68">
        <v>1</v>
      </c>
      <c r="U18" s="68">
        <v>1</v>
      </c>
      <c r="W18" s="70">
        <f t="shared" ref="W18:W26" si="2">4/3*PI()*(T18/2)*POWER(U18,2)</f>
        <v>2.0943951023931953</v>
      </c>
      <c r="X18" s="116">
        <f>W18/POWER(10,6)</f>
        <v>2.0943951023931953E-6</v>
      </c>
      <c r="Y18" s="75" t="s">
        <v>62</v>
      </c>
      <c r="Z18" s="75" t="s">
        <v>62</v>
      </c>
      <c r="AA18" s="74" t="s">
        <v>62</v>
      </c>
      <c r="AB18" s="74">
        <f>O18*W18*P18</f>
        <v>2.0943951023931954E-13</v>
      </c>
      <c r="AD18" s="74"/>
      <c r="AE18" s="75">
        <f>AB18*POWER(10,12)</f>
        <v>0.20943951023931953</v>
      </c>
      <c r="AF18" s="115"/>
      <c r="AG18" s="75"/>
      <c r="AH18" s="75"/>
      <c r="AI18" s="71" t="e">
        <f t="shared" si="0"/>
        <v>#VALUE!</v>
      </c>
      <c r="AJ18" s="78"/>
    </row>
    <row r="19" spans="3:40" ht="35" x14ac:dyDescent="0.35">
      <c r="C19" s="63" t="s">
        <v>53</v>
      </c>
      <c r="D19" s="63" t="s">
        <v>579</v>
      </c>
      <c r="E19" s="64" t="s">
        <v>538</v>
      </c>
      <c r="F19" s="63" t="s">
        <v>62</v>
      </c>
      <c r="G19" s="63">
        <v>1</v>
      </c>
      <c r="H19" s="65">
        <f t="shared" si="1"/>
        <v>1.8489724984162397E-13</v>
      </c>
      <c r="I19" s="67"/>
      <c r="J19" s="67"/>
      <c r="L19" s="75" t="s">
        <v>62</v>
      </c>
      <c r="M19" s="75" t="s">
        <v>62</v>
      </c>
      <c r="N19" s="75" t="s">
        <v>62</v>
      </c>
      <c r="O19" s="75" t="s">
        <v>62</v>
      </c>
      <c r="P19" s="74">
        <f>POWER(10,-15)</f>
        <v>1.0000000000000001E-15</v>
      </c>
      <c r="T19" s="68">
        <v>1</v>
      </c>
      <c r="U19" s="68">
        <v>1</v>
      </c>
      <c r="W19" s="70">
        <f t="shared" si="2"/>
        <v>2.0943951023931953</v>
      </c>
      <c r="X19" s="116" t="s">
        <v>62</v>
      </c>
      <c r="Y19" s="69" t="s">
        <v>62</v>
      </c>
      <c r="Z19" s="74" t="s">
        <v>62</v>
      </c>
      <c r="AA19" s="74" t="s">
        <v>62</v>
      </c>
      <c r="AB19" s="74">
        <f>(133.754*POWER(W19,0.438))*P19</f>
        <v>1.8489724984162397E-13</v>
      </c>
      <c r="AD19" s="74"/>
      <c r="AE19" s="75">
        <f>AB19*POWER(10,12)</f>
        <v>0.18489724984162398</v>
      </c>
      <c r="AF19" s="115"/>
      <c r="AG19" s="75"/>
      <c r="AH19" s="75"/>
      <c r="AI19" s="71" t="e">
        <f t="shared" si="0"/>
        <v>#VALUE!</v>
      </c>
      <c r="AJ19" s="78"/>
    </row>
    <row r="20" spans="3:40" ht="57" x14ac:dyDescent="0.35">
      <c r="C20" s="63" t="s">
        <v>53</v>
      </c>
      <c r="D20" s="63" t="s">
        <v>299</v>
      </c>
      <c r="E20" s="64" t="s">
        <v>515</v>
      </c>
      <c r="F20" s="63" t="s">
        <v>300</v>
      </c>
      <c r="G20" s="63">
        <v>1</v>
      </c>
      <c r="H20" s="65">
        <f t="shared" si="1"/>
        <v>7.4003466526120022E-14</v>
      </c>
      <c r="I20" s="67"/>
      <c r="J20" s="67"/>
      <c r="L20" s="75" t="s">
        <v>62</v>
      </c>
      <c r="M20" s="75" t="s">
        <v>62</v>
      </c>
      <c r="N20" s="75" t="s">
        <v>62</v>
      </c>
      <c r="O20" s="75" t="s">
        <v>62</v>
      </c>
      <c r="P20" s="75" t="s">
        <v>62</v>
      </c>
      <c r="T20" s="68">
        <v>1</v>
      </c>
      <c r="U20" s="68">
        <v>1</v>
      </c>
      <c r="W20" s="70">
        <f t="shared" si="2"/>
        <v>2.0943951023931953</v>
      </c>
      <c r="X20" s="116" t="s">
        <v>62</v>
      </c>
      <c r="Y20" s="74" t="s">
        <v>62</v>
      </c>
      <c r="Z20" s="75" t="s">
        <v>62</v>
      </c>
      <c r="AA20" s="74">
        <f>AK20*POWER(10,-9)</f>
        <v>7.4003466526120024E-8</v>
      </c>
      <c r="AB20" s="74">
        <f>AA20/1000000</f>
        <v>7.4003466526120022E-14</v>
      </c>
      <c r="AD20" s="74"/>
      <c r="AE20" s="75">
        <f>AB20*POWER(10,12)</f>
        <v>7.4003466526120026E-2</v>
      </c>
      <c r="AF20" s="115"/>
      <c r="AG20" s="75"/>
      <c r="AH20" s="75"/>
      <c r="AI20" s="71">
        <f t="shared" si="0"/>
        <v>3.5334052510702846E-2</v>
      </c>
      <c r="AJ20" s="78"/>
      <c r="AK20" s="75">
        <f>AL20*54/100</f>
        <v>74.003466526120022</v>
      </c>
      <c r="AL20" s="74">
        <f>88.6*POWER(W20,0.59)</f>
        <v>137.04345652985188</v>
      </c>
    </row>
    <row r="21" spans="3:40" ht="49" x14ac:dyDescent="0.35">
      <c r="C21" s="63" t="s">
        <v>53</v>
      </c>
      <c r="D21" s="63" t="s">
        <v>859</v>
      </c>
      <c r="E21" s="64" t="s">
        <v>527</v>
      </c>
      <c r="F21" s="63" t="s">
        <v>294</v>
      </c>
      <c r="G21" s="63">
        <v>1</v>
      </c>
      <c r="H21" s="65">
        <f t="shared" si="1"/>
        <v>2.5342180738957663E-13</v>
      </c>
      <c r="I21" s="67"/>
      <c r="J21" s="100"/>
      <c r="L21" s="75">
        <v>1.1000000000000001</v>
      </c>
      <c r="M21" s="75">
        <v>0.22</v>
      </c>
      <c r="N21" s="75">
        <v>0.5</v>
      </c>
      <c r="O21" s="68">
        <f>L21*M21*N21</f>
        <v>0.12100000000000001</v>
      </c>
      <c r="P21" s="68" t="s">
        <v>62</v>
      </c>
      <c r="T21" s="74">
        <v>1</v>
      </c>
      <c r="U21" s="70">
        <v>1</v>
      </c>
      <c r="V21" s="70"/>
      <c r="W21" s="70">
        <f t="shared" si="2"/>
        <v>2.0943951023931953</v>
      </c>
      <c r="X21" s="116">
        <f>W21/POWER(10,6)</f>
        <v>2.0943951023931953E-6</v>
      </c>
      <c r="Y21" s="70">
        <f>X21*L21</f>
        <v>2.3038346126325151E-6</v>
      </c>
      <c r="Z21" s="74">
        <f>Y21*M21</f>
        <v>5.068436147791533E-7</v>
      </c>
      <c r="AA21" s="74">
        <f>Z21*N21</f>
        <v>2.5342180738957665E-7</v>
      </c>
      <c r="AB21" s="74">
        <f>AA21/1000000</f>
        <v>2.5342180738957663E-13</v>
      </c>
      <c r="AD21" s="74"/>
      <c r="AE21" s="75">
        <f>AB21*POWER(10,12)</f>
        <v>0.25342180738957665</v>
      </c>
      <c r="AF21" s="115"/>
      <c r="AG21" s="75"/>
      <c r="AH21" s="75"/>
      <c r="AI21" s="71">
        <f t="shared" si="0"/>
        <v>0.12100000000000001</v>
      </c>
      <c r="AJ21" s="78"/>
    </row>
    <row r="22" spans="3:40" ht="32" x14ac:dyDescent="0.35">
      <c r="C22" s="63" t="s">
        <v>793</v>
      </c>
      <c r="D22" s="63" t="s">
        <v>792</v>
      </c>
      <c r="E22" s="64" t="s">
        <v>795</v>
      </c>
      <c r="F22" s="63" t="s">
        <v>794</v>
      </c>
      <c r="G22" s="63"/>
      <c r="H22" s="65"/>
      <c r="I22" s="67"/>
      <c r="J22" s="67"/>
      <c r="R22" s="68">
        <v>0.5</v>
      </c>
      <c r="T22" s="74">
        <v>1</v>
      </c>
      <c r="U22" s="70">
        <v>1</v>
      </c>
      <c r="V22" s="70"/>
      <c r="W22" s="70">
        <f>(4*PI())*(POWER(R22,3)/3)+(PI()*(POWER(R22,2)))*((T22)-(2*R22))</f>
        <v>0.52359877559829882</v>
      </c>
      <c r="X22" s="116"/>
      <c r="Y22" s="70"/>
      <c r="Z22" s="74"/>
      <c r="AA22" s="74"/>
      <c r="AB22" s="74"/>
      <c r="AD22" s="74"/>
      <c r="AE22" s="74"/>
      <c r="AF22" s="118"/>
      <c r="AG22" s="74"/>
      <c r="AH22" s="74"/>
      <c r="AI22" s="71">
        <f t="shared" si="0"/>
        <v>0</v>
      </c>
      <c r="AJ22" s="78"/>
    </row>
    <row r="23" spans="3:40" ht="40" x14ac:dyDescent="0.35">
      <c r="C23" s="63" t="s">
        <v>53</v>
      </c>
      <c r="D23" s="63" t="s">
        <v>842</v>
      </c>
      <c r="E23" s="64" t="s">
        <v>831</v>
      </c>
      <c r="F23" s="63"/>
      <c r="G23" s="63"/>
      <c r="H23" s="65"/>
      <c r="I23" s="67"/>
      <c r="J23" s="67"/>
      <c r="T23" s="74">
        <v>1</v>
      </c>
      <c r="U23" s="70">
        <v>1</v>
      </c>
      <c r="V23" s="70"/>
      <c r="W23" s="70" t="s">
        <v>832</v>
      </c>
      <c r="X23" s="116"/>
      <c r="Y23" s="70"/>
      <c r="Z23" s="74"/>
      <c r="AA23" s="74"/>
      <c r="AB23" s="74"/>
      <c r="AD23" s="74"/>
      <c r="AE23" s="74"/>
      <c r="AF23" s="118"/>
      <c r="AG23" s="74"/>
      <c r="AH23" s="74"/>
      <c r="AI23" s="71" t="e">
        <f t="shared" si="0"/>
        <v>#VALUE!</v>
      </c>
      <c r="AJ23" s="78"/>
    </row>
    <row r="24" spans="3:40" ht="24" x14ac:dyDescent="0.35">
      <c r="C24" s="63" t="s">
        <v>860</v>
      </c>
      <c r="D24" s="63" t="s">
        <v>841</v>
      </c>
      <c r="E24" s="64" t="s">
        <v>861</v>
      </c>
      <c r="F24" s="63"/>
      <c r="G24" s="63"/>
      <c r="H24" s="65"/>
      <c r="I24" s="67"/>
      <c r="J24" s="67"/>
      <c r="T24" s="74"/>
      <c r="U24" s="70"/>
      <c r="V24" s="70"/>
      <c r="W24" s="70"/>
      <c r="X24" s="116"/>
      <c r="Y24" s="70"/>
      <c r="Z24" s="74"/>
      <c r="AA24" s="74"/>
      <c r="AB24" s="74"/>
      <c r="AD24" s="74"/>
      <c r="AE24" s="74"/>
      <c r="AF24" s="118"/>
      <c r="AG24" s="74"/>
      <c r="AH24" s="74"/>
      <c r="AI24" s="71" t="e">
        <f t="shared" si="0"/>
        <v>#DIV/0!</v>
      </c>
      <c r="AJ24" s="78"/>
    </row>
    <row r="25" spans="3:40" ht="49" x14ac:dyDescent="0.35">
      <c r="C25" s="63" t="s">
        <v>293</v>
      </c>
      <c r="D25" s="63" t="s">
        <v>287</v>
      </c>
      <c r="E25" s="64" t="s">
        <v>511</v>
      </c>
      <c r="F25" s="63" t="s">
        <v>260</v>
      </c>
      <c r="G25" s="63">
        <v>1</v>
      </c>
      <c r="H25" s="65">
        <f t="shared" si="1"/>
        <v>2.8797932657906438E-13</v>
      </c>
      <c r="I25" s="67"/>
      <c r="J25" s="100"/>
      <c r="L25" s="75">
        <v>1.1000000000000001</v>
      </c>
      <c r="M25" s="75">
        <v>0.25</v>
      </c>
      <c r="N25" s="75">
        <v>0.5</v>
      </c>
      <c r="O25" s="68">
        <f>L25*M25*N25</f>
        <v>0.13750000000000001</v>
      </c>
      <c r="P25" s="68" t="s">
        <v>62</v>
      </c>
      <c r="T25" s="74">
        <v>1</v>
      </c>
      <c r="U25" s="70">
        <v>1</v>
      </c>
      <c r="V25" s="70"/>
      <c r="W25" s="70">
        <f>4/3*PI()*(T25/2)*POWER(U25,2)</f>
        <v>2.0943951023931953</v>
      </c>
      <c r="X25" s="116">
        <f>W25/POWER(10,6)</f>
        <v>2.0943951023931953E-6</v>
      </c>
      <c r="Y25" s="70">
        <f t="shared" ref="Y25:AA26" si="3">X25*L25</f>
        <v>2.3038346126325151E-6</v>
      </c>
      <c r="Z25" s="74">
        <f t="shared" si="3"/>
        <v>5.7595865315812878E-7</v>
      </c>
      <c r="AA25" s="74">
        <f t="shared" si="3"/>
        <v>2.8797932657906439E-7</v>
      </c>
      <c r="AB25" s="74">
        <f>AA25/1000000</f>
        <v>2.8797932657906438E-13</v>
      </c>
      <c r="AD25" s="74"/>
      <c r="AE25" s="75">
        <f>AB25*POWER(10,12)</f>
        <v>0.28797932657906439</v>
      </c>
      <c r="AF25" s="115"/>
      <c r="AG25" s="75"/>
      <c r="AH25" s="75"/>
      <c r="AI25" s="71">
        <f t="shared" si="0"/>
        <v>0.13750000000000001</v>
      </c>
      <c r="AJ25" s="78"/>
      <c r="AK25" s="74"/>
      <c r="AL25" s="74"/>
    </row>
    <row r="26" spans="3:40" ht="40" x14ac:dyDescent="0.35">
      <c r="C26" s="63" t="s">
        <v>291</v>
      </c>
      <c r="D26" s="63" t="s">
        <v>287</v>
      </c>
      <c r="E26" s="64"/>
      <c r="F26" s="63" t="s">
        <v>306</v>
      </c>
      <c r="G26" s="63">
        <v>1</v>
      </c>
      <c r="H26" s="65">
        <f t="shared" ref="H26" si="4">AB26</f>
        <v>4.6076692252650301E-12</v>
      </c>
      <c r="I26" s="67"/>
      <c r="J26" s="100"/>
      <c r="L26" s="75">
        <v>2.2000000000000002</v>
      </c>
      <c r="M26" s="75">
        <v>1</v>
      </c>
      <c r="N26" s="75">
        <v>1</v>
      </c>
      <c r="O26" s="75">
        <f>L26</f>
        <v>2.2000000000000002</v>
      </c>
      <c r="P26" s="75" t="s">
        <v>62</v>
      </c>
      <c r="T26" s="68">
        <v>1</v>
      </c>
      <c r="U26" s="68">
        <v>1</v>
      </c>
      <c r="W26" s="70">
        <f t="shared" si="2"/>
        <v>2.0943951023931953</v>
      </c>
      <c r="X26" s="116">
        <f>W26/POWER(10,6)</f>
        <v>2.0943951023931953E-6</v>
      </c>
      <c r="Y26" s="70">
        <f t="shared" si="3"/>
        <v>4.6076692252650303E-6</v>
      </c>
      <c r="Z26" s="74">
        <f t="shared" si="3"/>
        <v>4.6076692252650303E-6</v>
      </c>
      <c r="AA26" s="74">
        <f t="shared" si="3"/>
        <v>4.6076692252650303E-6</v>
      </c>
      <c r="AB26" s="74">
        <f>AA26/1000000</f>
        <v>4.6076692252650301E-12</v>
      </c>
      <c r="AD26" s="74"/>
      <c r="AE26" s="75">
        <f>AB26*POWER(10,12)</f>
        <v>4.6076692252650302</v>
      </c>
      <c r="AF26" s="115"/>
      <c r="AG26" s="75"/>
      <c r="AH26" s="75"/>
      <c r="AI26" s="71">
        <f t="shared" si="0"/>
        <v>2.2000000000000002</v>
      </c>
      <c r="AJ26" s="78"/>
    </row>
    <row r="27" spans="3:40" ht="16" x14ac:dyDescent="0.35">
      <c r="C27" s="62" t="s">
        <v>662</v>
      </c>
      <c r="D27" s="63"/>
      <c r="E27" s="64"/>
      <c r="F27" s="63"/>
      <c r="G27" s="63"/>
      <c r="H27" s="65"/>
      <c r="I27" s="67"/>
      <c r="J27" s="67"/>
      <c r="AI27" s="71" t="e">
        <f t="shared" si="0"/>
        <v>#DIV/0!</v>
      </c>
      <c r="AJ27" s="78"/>
    </row>
    <row r="28" spans="3:40" ht="40" x14ac:dyDescent="0.35">
      <c r="C28" s="63" t="s">
        <v>807</v>
      </c>
      <c r="D28" s="63" t="s">
        <v>317</v>
      </c>
      <c r="E28" s="64" t="s">
        <v>318</v>
      </c>
      <c r="F28" s="63" t="s">
        <v>62</v>
      </c>
      <c r="G28" s="63" t="s">
        <v>564</v>
      </c>
      <c r="H28" s="65" t="s">
        <v>62</v>
      </c>
      <c r="I28" s="65"/>
      <c r="J28" s="65"/>
      <c r="L28" s="75" t="s">
        <v>62</v>
      </c>
      <c r="M28" s="75" t="s">
        <v>62</v>
      </c>
      <c r="N28" s="75" t="s">
        <v>62</v>
      </c>
      <c r="O28" s="75" t="s">
        <v>62</v>
      </c>
      <c r="P28" s="75" t="s">
        <v>62</v>
      </c>
      <c r="R28" s="75"/>
      <c r="S28" s="75"/>
      <c r="T28" s="75" t="s">
        <v>62</v>
      </c>
      <c r="U28" s="75" t="s">
        <v>62</v>
      </c>
      <c r="V28" s="75"/>
      <c r="W28" s="75" t="s">
        <v>62</v>
      </c>
      <c r="X28" s="115" t="s">
        <v>62</v>
      </c>
      <c r="Y28" s="75" t="s">
        <v>62</v>
      </c>
      <c r="Z28" s="75" t="s">
        <v>62</v>
      </c>
      <c r="AA28" s="75" t="s">
        <v>62</v>
      </c>
      <c r="AB28" s="75" t="s">
        <v>62</v>
      </c>
      <c r="AD28" s="75"/>
      <c r="AE28" s="75"/>
      <c r="AF28" s="115"/>
      <c r="AG28" s="75"/>
      <c r="AH28" s="75"/>
      <c r="AI28" s="71" t="e">
        <f t="shared" si="0"/>
        <v>#VALUE!</v>
      </c>
      <c r="AJ28" s="68"/>
      <c r="AK28" s="74"/>
      <c r="AL28" s="80"/>
      <c r="AM28" s="74"/>
      <c r="AN28" s="74"/>
    </row>
    <row r="29" spans="3:40" ht="24" x14ac:dyDescent="0.35">
      <c r="C29" s="81" t="s">
        <v>806</v>
      </c>
      <c r="D29" s="63" t="s">
        <v>315</v>
      </c>
      <c r="E29" s="64" t="s">
        <v>316</v>
      </c>
      <c r="F29" s="63" t="s">
        <v>260</v>
      </c>
      <c r="G29" s="63" t="s">
        <v>564</v>
      </c>
      <c r="H29" s="65" t="s">
        <v>563</v>
      </c>
      <c r="I29" s="65"/>
      <c r="J29" s="65"/>
      <c r="L29" s="75" t="s">
        <v>62</v>
      </c>
      <c r="M29" s="75" t="s">
        <v>62</v>
      </c>
      <c r="N29" s="75" t="s">
        <v>62</v>
      </c>
      <c r="O29" s="75" t="s">
        <v>62</v>
      </c>
      <c r="P29" s="75" t="s">
        <v>62</v>
      </c>
      <c r="T29" s="68">
        <v>50</v>
      </c>
      <c r="U29" s="69">
        <f t="shared" ref="U29:U37" si="5">T29*2/3</f>
        <v>33.333333333333336</v>
      </c>
      <c r="V29" s="69"/>
      <c r="W29" s="70">
        <f t="shared" ref="W29:W37" si="6">4/3*PI()*(T29/2)*POWER(U29,2)</f>
        <v>116355.28346628865</v>
      </c>
      <c r="X29" s="117">
        <f>((T29*(POWER(U29,2))*PI())/6)/1000000</f>
        <v>2.9088820866572163E-2</v>
      </c>
      <c r="Y29" s="72">
        <f>X29*1</f>
        <v>2.9088820866572163E-2</v>
      </c>
      <c r="Z29" s="73">
        <f>Y29*0.59</f>
        <v>1.7162404311277576E-2</v>
      </c>
      <c r="AA29" s="74" t="s">
        <v>62</v>
      </c>
      <c r="AB29" s="74" t="s">
        <v>62</v>
      </c>
      <c r="AD29" s="74"/>
      <c r="AE29" s="74"/>
      <c r="AF29" s="118"/>
      <c r="AG29" s="74"/>
      <c r="AH29" s="74"/>
      <c r="AI29" s="71" t="e">
        <f t="shared" si="0"/>
        <v>#VALUE!</v>
      </c>
      <c r="AJ29" s="68"/>
      <c r="AK29" s="68">
        <f>Z29/POWER(10,6)</f>
        <v>1.7162404311277575E-8</v>
      </c>
      <c r="AL29" s="80"/>
      <c r="AM29" s="74"/>
      <c r="AN29" s="74"/>
    </row>
    <row r="30" spans="3:40" ht="43" x14ac:dyDescent="0.35">
      <c r="C30" s="63" t="s">
        <v>540</v>
      </c>
      <c r="D30" s="63" t="s">
        <v>310</v>
      </c>
      <c r="E30" s="64" t="s">
        <v>541</v>
      </c>
      <c r="F30" s="63" t="s">
        <v>288</v>
      </c>
      <c r="G30" s="63" t="s">
        <v>564</v>
      </c>
      <c r="H30" s="65">
        <f t="shared" ref="H30:H37" si="7">AB30</f>
        <v>1.2337492653307974E-8</v>
      </c>
      <c r="I30" s="67"/>
      <c r="J30" s="100"/>
      <c r="L30" s="75" t="s">
        <v>62</v>
      </c>
      <c r="M30" s="75" t="s">
        <v>62</v>
      </c>
      <c r="N30" s="75" t="s">
        <v>62</v>
      </c>
      <c r="O30" s="75" t="s">
        <v>62</v>
      </c>
      <c r="P30" s="75" t="s">
        <v>62</v>
      </c>
      <c r="T30" s="68">
        <v>50</v>
      </c>
      <c r="U30" s="69">
        <f t="shared" si="5"/>
        <v>33.333333333333336</v>
      </c>
      <c r="V30" s="69"/>
      <c r="W30" s="70">
        <f t="shared" si="6"/>
        <v>116355.28346628865</v>
      </c>
      <c r="X30" s="117">
        <f t="shared" ref="X30:X37" si="8">((T30*(POWER(U30,2))*PI())/6)/1000000</f>
        <v>2.9088820866572163E-2</v>
      </c>
      <c r="Y30" s="79" t="s">
        <v>62</v>
      </c>
      <c r="Z30" s="80" t="s">
        <v>62</v>
      </c>
      <c r="AA30" s="74">
        <f t="shared" ref="AA30:AA36" si="9">AK30*POWER(10,-6)</f>
        <v>1.2337492653307974E-2</v>
      </c>
      <c r="AB30" s="74">
        <f t="shared" ref="AB30:AB37" si="10">AA30/1000000</f>
        <v>1.2337492653307974E-8</v>
      </c>
      <c r="AD30" s="74"/>
      <c r="AE30" s="75">
        <f>AB30*POWER(10,12)</f>
        <v>12337.492653307974</v>
      </c>
      <c r="AF30" s="115">
        <f>AB30*POWER(10,9)</f>
        <v>12.337492653307974</v>
      </c>
      <c r="AG30" s="75"/>
      <c r="AH30" s="75"/>
      <c r="AI30" s="71">
        <f t="shared" si="0"/>
        <v>0.10603293882123099</v>
      </c>
      <c r="AJ30" s="78"/>
      <c r="AK30" s="74">
        <f>0.216*POWER(W30,0.939)</f>
        <v>12337.492653307974</v>
      </c>
    </row>
    <row r="31" spans="3:40" ht="34" x14ac:dyDescent="0.35">
      <c r="C31" s="63" t="s">
        <v>309</v>
      </c>
      <c r="D31" s="63" t="s">
        <v>310</v>
      </c>
      <c r="E31" s="64" t="s">
        <v>520</v>
      </c>
      <c r="F31" s="63" t="s">
        <v>288</v>
      </c>
      <c r="G31" s="63" t="s">
        <v>564</v>
      </c>
      <c r="H31" s="65">
        <f t="shared" si="7"/>
        <v>1.0833235925336583E-8</v>
      </c>
      <c r="I31" s="67"/>
      <c r="J31" s="100"/>
      <c r="L31" s="75" t="s">
        <v>62</v>
      </c>
      <c r="M31" s="75" t="s">
        <v>62</v>
      </c>
      <c r="N31" s="75" t="s">
        <v>62</v>
      </c>
      <c r="O31" s="75" t="s">
        <v>62</v>
      </c>
      <c r="P31" s="75" t="s">
        <v>62</v>
      </c>
      <c r="T31" s="68">
        <v>50</v>
      </c>
      <c r="U31" s="69">
        <f t="shared" si="5"/>
        <v>33.333333333333336</v>
      </c>
      <c r="V31" s="69"/>
      <c r="W31" s="70">
        <f t="shared" si="6"/>
        <v>116355.28346628865</v>
      </c>
      <c r="X31" s="117">
        <f t="shared" si="8"/>
        <v>2.9088820866572163E-2</v>
      </c>
      <c r="Y31" s="79" t="s">
        <v>62</v>
      </c>
      <c r="Z31" s="80" t="s">
        <v>62</v>
      </c>
      <c r="AA31" s="74">
        <f t="shared" si="9"/>
        <v>1.0833235925336583E-2</v>
      </c>
      <c r="AB31" s="74">
        <f t="shared" si="10"/>
        <v>1.0833235925336583E-8</v>
      </c>
      <c r="AD31" s="74"/>
      <c r="AE31" s="74"/>
      <c r="AF31" s="115">
        <f t="shared" ref="AF31:AF42" si="11">AB31*POWER(10,9)</f>
        <v>10.833235925336583</v>
      </c>
      <c r="AG31" s="74"/>
      <c r="AH31" s="74"/>
      <c r="AI31" s="71">
        <f t="shared" si="0"/>
        <v>9.3104804548693076E-2</v>
      </c>
      <c r="AJ31" s="78"/>
      <c r="AK31" s="74">
        <f>0.76*POWER(W31,0.82)</f>
        <v>10833.235925336585</v>
      </c>
    </row>
    <row r="32" spans="3:40" ht="43" x14ac:dyDescent="0.35">
      <c r="C32" s="63" t="s">
        <v>311</v>
      </c>
      <c r="D32" s="63" t="s">
        <v>310</v>
      </c>
      <c r="E32" s="64" t="s">
        <v>521</v>
      </c>
      <c r="F32" s="63" t="s">
        <v>288</v>
      </c>
      <c r="G32" s="63" t="s">
        <v>564</v>
      </c>
      <c r="H32" s="65">
        <f t="shared" si="7"/>
        <v>3.6961111403747762E-9</v>
      </c>
      <c r="I32" s="67"/>
      <c r="J32" s="100"/>
      <c r="L32" s="75" t="s">
        <v>62</v>
      </c>
      <c r="M32" s="75" t="s">
        <v>62</v>
      </c>
      <c r="N32" s="75" t="s">
        <v>62</v>
      </c>
      <c r="O32" s="75" t="s">
        <v>62</v>
      </c>
      <c r="P32" s="75" t="s">
        <v>62</v>
      </c>
      <c r="T32" s="68">
        <v>50</v>
      </c>
      <c r="U32" s="69">
        <f t="shared" si="5"/>
        <v>33.333333333333336</v>
      </c>
      <c r="V32" s="69"/>
      <c r="W32" s="70">
        <f t="shared" si="6"/>
        <v>116355.28346628865</v>
      </c>
      <c r="X32" s="117">
        <f t="shared" si="8"/>
        <v>2.9088820866572163E-2</v>
      </c>
      <c r="Y32" s="79" t="s">
        <v>62</v>
      </c>
      <c r="Z32" s="80" t="s">
        <v>62</v>
      </c>
      <c r="AA32" s="74">
        <f t="shared" si="9"/>
        <v>3.6961111403747762E-3</v>
      </c>
      <c r="AB32" s="74">
        <f>AA32/1000000</f>
        <v>3.6961111403747762E-9</v>
      </c>
      <c r="AD32" s="74"/>
      <c r="AE32" s="74"/>
      <c r="AF32" s="115">
        <f t="shared" si="11"/>
        <v>3.6961111403747764</v>
      </c>
      <c r="AG32" s="74"/>
      <c r="AH32" s="74"/>
      <c r="AI32" s="71">
        <f t="shared" si="0"/>
        <v>3.1765735343214065E-2</v>
      </c>
      <c r="AJ32" s="78"/>
      <c r="AK32" s="74">
        <f>0.288*POWER(W32,0.811)</f>
        <v>3696.1111403747764</v>
      </c>
    </row>
    <row r="33" spans="3:40" ht="34" x14ac:dyDescent="0.35">
      <c r="C33" s="63" t="s">
        <v>573</v>
      </c>
      <c r="D33" s="63" t="s">
        <v>575</v>
      </c>
      <c r="E33" s="64" t="s">
        <v>577</v>
      </c>
      <c r="F33" s="63" t="s">
        <v>576</v>
      </c>
      <c r="G33" s="63" t="s">
        <v>578</v>
      </c>
      <c r="H33" s="65">
        <f>AB33</f>
        <v>7.0511069079534267E-10</v>
      </c>
      <c r="I33" s="67"/>
      <c r="J33" s="100"/>
      <c r="L33" s="75" t="s">
        <v>62</v>
      </c>
      <c r="M33" s="75" t="s">
        <v>62</v>
      </c>
      <c r="N33" s="75" t="s">
        <v>62</v>
      </c>
      <c r="O33" s="75" t="s">
        <v>62</v>
      </c>
      <c r="P33" s="75" t="s">
        <v>62</v>
      </c>
      <c r="T33" s="68">
        <v>50</v>
      </c>
      <c r="U33" s="69">
        <f t="shared" ref="U33" si="12">T33*2/3</f>
        <v>33.333333333333336</v>
      </c>
      <c r="V33" s="69"/>
      <c r="W33" s="70">
        <f xml:space="preserve"> (PI()/6)*POWER(T33,3)</f>
        <v>65449.846949787352</v>
      </c>
      <c r="X33" s="117">
        <f t="shared" ref="X33" si="13">((T33*(POWER(U33,2))*PI())/6)/1000000</f>
        <v>2.9088820866572163E-2</v>
      </c>
      <c r="Y33" s="79" t="s">
        <v>62</v>
      </c>
      <c r="Z33" s="80" t="s">
        <v>62</v>
      </c>
      <c r="AA33" s="74">
        <f>AK33*POWER(10,-6)</f>
        <v>7.051106907953427E-4</v>
      </c>
      <c r="AB33" s="74">
        <f t="shared" ref="AB33" si="14">AA33/1000000</f>
        <v>7.0511069079534267E-10</v>
      </c>
      <c r="AD33" s="74"/>
      <c r="AE33" s="74"/>
      <c r="AF33" s="115">
        <f t="shared" si="11"/>
        <v>0.70511069079534272</v>
      </c>
      <c r="AG33" s="74"/>
      <c r="AH33" s="74"/>
      <c r="AI33" s="71">
        <f t="shared" si="0"/>
        <v>1.0773297779233901E-2</v>
      </c>
      <c r="AJ33" s="78"/>
      <c r="AK33" s="74">
        <f>0.3*POWER(W33,0.7)</f>
        <v>705.11069079534275</v>
      </c>
    </row>
    <row r="34" spans="3:40" ht="43" x14ac:dyDescent="0.35">
      <c r="C34" s="63" t="s">
        <v>312</v>
      </c>
      <c r="D34" s="63" t="s">
        <v>313</v>
      </c>
      <c r="E34" s="64" t="s">
        <v>541</v>
      </c>
      <c r="F34" s="63" t="s">
        <v>260</v>
      </c>
      <c r="G34" s="63" t="s">
        <v>564</v>
      </c>
      <c r="H34" s="65">
        <f t="shared" si="7"/>
        <v>1.2337492653307974E-8</v>
      </c>
      <c r="I34" s="67"/>
      <c r="J34" s="100"/>
      <c r="L34" s="75" t="s">
        <v>62</v>
      </c>
      <c r="M34" s="75" t="s">
        <v>62</v>
      </c>
      <c r="N34" s="75" t="s">
        <v>62</v>
      </c>
      <c r="O34" s="75" t="s">
        <v>62</v>
      </c>
      <c r="P34" s="75" t="s">
        <v>62</v>
      </c>
      <c r="T34" s="68">
        <v>50</v>
      </c>
      <c r="U34" s="69">
        <f t="shared" si="5"/>
        <v>33.333333333333336</v>
      </c>
      <c r="V34" s="69"/>
      <c r="W34" s="70">
        <f t="shared" si="6"/>
        <v>116355.28346628865</v>
      </c>
      <c r="X34" s="117">
        <f t="shared" si="8"/>
        <v>2.9088820866572163E-2</v>
      </c>
      <c r="Y34" s="79" t="s">
        <v>62</v>
      </c>
      <c r="Z34" s="80" t="s">
        <v>62</v>
      </c>
      <c r="AA34" s="74">
        <f t="shared" si="9"/>
        <v>1.2337492653307974E-2</v>
      </c>
      <c r="AB34" s="74">
        <f t="shared" si="10"/>
        <v>1.2337492653307974E-8</v>
      </c>
      <c r="AD34" s="74"/>
      <c r="AE34" s="74"/>
      <c r="AF34" s="115">
        <f t="shared" si="11"/>
        <v>12.337492653307974</v>
      </c>
      <c r="AG34" s="74"/>
      <c r="AH34" s="74"/>
      <c r="AI34" s="71">
        <f t="shared" si="0"/>
        <v>0.10603293882123099</v>
      </c>
      <c r="AJ34" s="78"/>
      <c r="AK34" s="74">
        <f>0.216*POWER(W34,0.939)</f>
        <v>12337.492653307974</v>
      </c>
    </row>
    <row r="35" spans="3:40" ht="50" x14ac:dyDescent="0.35">
      <c r="C35" s="63" t="s">
        <v>808</v>
      </c>
      <c r="D35" s="63" t="s">
        <v>314</v>
      </c>
      <c r="E35" s="64" t="s">
        <v>522</v>
      </c>
      <c r="F35" s="63" t="s">
        <v>288</v>
      </c>
      <c r="G35" s="63" t="s">
        <v>564</v>
      </c>
      <c r="H35" s="65">
        <f t="shared" si="7"/>
        <v>2.210750385859484E-8</v>
      </c>
      <c r="I35" s="67"/>
      <c r="J35" s="100"/>
      <c r="L35" s="75" t="s">
        <v>62</v>
      </c>
      <c r="M35" s="75" t="s">
        <v>62</v>
      </c>
      <c r="N35" s="75" t="s">
        <v>62</v>
      </c>
      <c r="O35" s="75" t="s">
        <v>62</v>
      </c>
      <c r="P35" s="75" t="s">
        <v>62</v>
      </c>
      <c r="T35" s="68">
        <v>50</v>
      </c>
      <c r="U35" s="69">
        <f t="shared" si="5"/>
        <v>33.333333333333336</v>
      </c>
      <c r="V35" s="69"/>
      <c r="W35" s="70">
        <f t="shared" si="6"/>
        <v>116355.28346628865</v>
      </c>
      <c r="X35" s="117">
        <f t="shared" si="8"/>
        <v>2.9088820866572163E-2</v>
      </c>
      <c r="Y35" s="79" t="s">
        <v>284</v>
      </c>
      <c r="Z35" s="80" t="s">
        <v>62</v>
      </c>
      <c r="AA35" s="74">
        <f t="shared" si="9"/>
        <v>2.2107503858594842E-2</v>
      </c>
      <c r="AB35" s="74">
        <f t="shared" si="10"/>
        <v>2.210750385859484E-8</v>
      </c>
      <c r="AD35" s="74"/>
      <c r="AE35" s="74"/>
      <c r="AF35" s="115">
        <f t="shared" si="11"/>
        <v>22.107503858594839</v>
      </c>
      <c r="AG35" s="74"/>
      <c r="AH35" s="74"/>
      <c r="AI35" s="71">
        <f t="shared" si="0"/>
        <v>0.19</v>
      </c>
      <c r="AJ35" s="68"/>
      <c r="AK35" s="74">
        <f>W35*0.19</f>
        <v>22107.503858594842</v>
      </c>
      <c r="AL35" s="80"/>
      <c r="AM35" s="74"/>
      <c r="AN35" s="74"/>
    </row>
    <row r="36" spans="3:40" ht="50" x14ac:dyDescent="0.35">
      <c r="C36" s="63" t="s">
        <v>808</v>
      </c>
      <c r="D36" s="63" t="s">
        <v>544</v>
      </c>
      <c r="E36" s="64" t="s">
        <v>545</v>
      </c>
      <c r="F36" s="63" t="s">
        <v>288</v>
      </c>
      <c r="G36" s="63" t="s">
        <v>564</v>
      </c>
      <c r="H36" s="65">
        <f t="shared" si="7"/>
        <v>1.6289739685280411E-8</v>
      </c>
      <c r="I36" s="67"/>
      <c r="J36" s="100"/>
      <c r="L36" s="75" t="s">
        <v>62</v>
      </c>
      <c r="M36" s="75" t="s">
        <v>62</v>
      </c>
      <c r="N36" s="75" t="s">
        <v>62</v>
      </c>
      <c r="O36" s="75" t="s">
        <v>62</v>
      </c>
      <c r="P36" s="75" t="s">
        <v>62</v>
      </c>
      <c r="T36" s="68">
        <v>50</v>
      </c>
      <c r="U36" s="69">
        <f t="shared" si="5"/>
        <v>33.333333333333336</v>
      </c>
      <c r="V36" s="69"/>
      <c r="W36" s="70">
        <f t="shared" si="6"/>
        <v>116355.28346628865</v>
      </c>
      <c r="X36" s="117">
        <f t="shared" si="8"/>
        <v>2.9088820866572163E-2</v>
      </c>
      <c r="Y36" s="79" t="s">
        <v>284</v>
      </c>
      <c r="Z36" s="80" t="s">
        <v>62</v>
      </c>
      <c r="AA36" s="74">
        <f t="shared" si="9"/>
        <v>1.628973968528041E-2</v>
      </c>
      <c r="AB36" s="74">
        <f t="shared" si="10"/>
        <v>1.6289739685280411E-8</v>
      </c>
      <c r="AD36" s="74"/>
      <c r="AE36" s="74"/>
      <c r="AF36" s="115">
        <f t="shared" si="11"/>
        <v>16.289739685280409</v>
      </c>
      <c r="AG36" s="74"/>
      <c r="AH36" s="74"/>
      <c r="AI36" s="71">
        <f t="shared" ref="AI36:AI65" si="15">(AA36*POWER(10,6))/W36</f>
        <v>0.14000000000000001</v>
      </c>
      <c r="AJ36" s="68"/>
      <c r="AK36" s="74">
        <f>W36*0.14</f>
        <v>16289.739685280412</v>
      </c>
      <c r="AL36" s="80"/>
      <c r="AM36" s="74"/>
      <c r="AN36" s="74"/>
    </row>
    <row r="37" spans="3:40" ht="49" x14ac:dyDescent="0.35">
      <c r="C37" s="63" t="s">
        <v>307</v>
      </c>
      <c r="D37" s="63" t="s">
        <v>308</v>
      </c>
      <c r="E37" s="64" t="s">
        <v>519</v>
      </c>
      <c r="F37" s="63" t="s">
        <v>530</v>
      </c>
      <c r="G37" s="63" t="s">
        <v>564</v>
      </c>
      <c r="H37" s="65">
        <f t="shared" si="7"/>
        <v>3.1997702953229381E-9</v>
      </c>
      <c r="I37" s="67"/>
      <c r="J37" s="100"/>
      <c r="L37" s="75">
        <v>1.1000000000000001</v>
      </c>
      <c r="M37" s="75">
        <v>0.25</v>
      </c>
      <c r="N37" s="75">
        <v>0.4</v>
      </c>
      <c r="O37" s="68">
        <f>L37*M37*N37</f>
        <v>0.11000000000000001</v>
      </c>
      <c r="P37" s="68" t="s">
        <v>62</v>
      </c>
      <c r="T37" s="68">
        <v>50</v>
      </c>
      <c r="U37" s="69">
        <f t="shared" si="5"/>
        <v>33.333333333333336</v>
      </c>
      <c r="V37" s="69"/>
      <c r="W37" s="70">
        <f t="shared" si="6"/>
        <v>116355.28346628865</v>
      </c>
      <c r="X37" s="117">
        <f t="shared" si="8"/>
        <v>2.9088820866572163E-2</v>
      </c>
      <c r="Y37" s="72">
        <f>X37*1.1</f>
        <v>3.199770295322938E-2</v>
      </c>
      <c r="Z37" s="73">
        <f>Y37*0.25</f>
        <v>7.9994257383073451E-3</v>
      </c>
      <c r="AA37" s="74">
        <f>Z37*0.4</f>
        <v>3.1997702953229382E-3</v>
      </c>
      <c r="AB37" s="74">
        <f t="shared" si="10"/>
        <v>3.1997702953229381E-9</v>
      </c>
      <c r="AD37" s="74"/>
      <c r="AE37" s="74"/>
      <c r="AF37" s="115">
        <f t="shared" si="11"/>
        <v>3.1997702953229381</v>
      </c>
      <c r="AG37" s="74"/>
      <c r="AH37" s="74"/>
      <c r="AI37" s="71">
        <f t="shared" si="15"/>
        <v>2.7500000000000004E-2</v>
      </c>
      <c r="AJ37" s="78"/>
    </row>
    <row r="38" spans="3:40" ht="32" x14ac:dyDescent="0.35">
      <c r="C38" s="63" t="s">
        <v>809</v>
      </c>
      <c r="D38" s="63" t="s">
        <v>789</v>
      </c>
      <c r="E38" s="64" t="s">
        <v>791</v>
      </c>
      <c r="F38" s="63" t="s">
        <v>790</v>
      </c>
      <c r="G38" s="63"/>
      <c r="H38" s="65"/>
      <c r="I38" s="67"/>
      <c r="J38" s="67"/>
      <c r="U38" s="69"/>
      <c r="V38" s="69"/>
      <c r="W38" s="70"/>
      <c r="X38" s="117"/>
      <c r="Y38" s="72"/>
      <c r="Z38" s="73"/>
      <c r="AA38" s="74"/>
      <c r="AB38" s="74"/>
      <c r="AD38" s="74"/>
      <c r="AE38" s="74"/>
      <c r="AF38" s="115">
        <f t="shared" si="11"/>
        <v>0</v>
      </c>
      <c r="AG38" s="74"/>
      <c r="AH38" s="74"/>
      <c r="AI38" s="71" t="e">
        <f t="shared" si="15"/>
        <v>#DIV/0!</v>
      </c>
      <c r="AJ38" s="78"/>
    </row>
    <row r="39" spans="3:40" ht="40" x14ac:dyDescent="0.35">
      <c r="C39" s="63" t="s">
        <v>319</v>
      </c>
      <c r="D39" s="63" t="s">
        <v>496</v>
      </c>
      <c r="E39" s="64" t="s">
        <v>320</v>
      </c>
      <c r="F39" s="63" t="s">
        <v>321</v>
      </c>
      <c r="G39" s="63" t="s">
        <v>565</v>
      </c>
      <c r="H39" s="65" t="s">
        <v>62</v>
      </c>
      <c r="I39" s="65"/>
      <c r="J39" s="65"/>
      <c r="L39" s="75" t="s">
        <v>62</v>
      </c>
      <c r="M39" s="75" t="s">
        <v>62</v>
      </c>
      <c r="N39" s="75" t="s">
        <v>62</v>
      </c>
      <c r="O39" s="75" t="s">
        <v>62</v>
      </c>
      <c r="P39" s="75" t="s">
        <v>62</v>
      </c>
      <c r="R39" s="75"/>
      <c r="S39" s="75"/>
      <c r="T39" s="75" t="s">
        <v>62</v>
      </c>
      <c r="U39" s="75" t="s">
        <v>62</v>
      </c>
      <c r="V39" s="75"/>
      <c r="W39" s="75" t="s">
        <v>62</v>
      </c>
      <c r="X39" s="115" t="s">
        <v>62</v>
      </c>
      <c r="Y39" s="75" t="s">
        <v>62</v>
      </c>
      <c r="Z39" s="75" t="s">
        <v>62</v>
      </c>
      <c r="AA39" s="75" t="s">
        <v>62</v>
      </c>
      <c r="AB39" s="75" t="s">
        <v>62</v>
      </c>
      <c r="AD39" s="75"/>
      <c r="AE39" s="75"/>
      <c r="AF39" s="115"/>
      <c r="AG39" s="75"/>
      <c r="AH39" s="75"/>
      <c r="AI39" s="71" t="e">
        <f t="shared" si="15"/>
        <v>#VALUE!</v>
      </c>
      <c r="AJ39" s="68"/>
      <c r="AK39" s="74"/>
      <c r="AL39" s="80"/>
      <c r="AM39" s="74"/>
      <c r="AN39" s="74"/>
    </row>
    <row r="40" spans="3:40" ht="16" x14ac:dyDescent="0.35">
      <c r="C40" s="62" t="s">
        <v>127</v>
      </c>
      <c r="D40" s="63"/>
      <c r="E40" s="64"/>
      <c r="F40" s="63"/>
      <c r="G40" s="63"/>
      <c r="H40" s="65"/>
      <c r="I40" s="67"/>
      <c r="J40" s="67"/>
      <c r="AF40" s="115">
        <f t="shared" si="11"/>
        <v>0</v>
      </c>
      <c r="AI40" s="71" t="e">
        <f t="shared" si="15"/>
        <v>#DIV/0!</v>
      </c>
      <c r="AJ40" s="78"/>
    </row>
    <row r="41" spans="3:40" ht="64" x14ac:dyDescent="0.35">
      <c r="C41" s="63" t="s">
        <v>323</v>
      </c>
      <c r="D41" s="63" t="s">
        <v>324</v>
      </c>
      <c r="E41" s="64" t="s">
        <v>504</v>
      </c>
      <c r="F41" s="63" t="s">
        <v>288</v>
      </c>
      <c r="G41" s="63" t="s">
        <v>565</v>
      </c>
      <c r="H41" s="65">
        <v>6.2620833333333328E-7</v>
      </c>
      <c r="I41" s="67"/>
      <c r="J41" s="67"/>
      <c r="L41" s="75">
        <v>1.1299999999999999</v>
      </c>
      <c r="M41" s="75">
        <v>0.25</v>
      </c>
      <c r="N41" s="75" t="s">
        <v>62</v>
      </c>
      <c r="O41" s="75" t="s">
        <v>62</v>
      </c>
      <c r="P41" s="75" t="s">
        <v>62</v>
      </c>
      <c r="Q41" s="83">
        <v>399</v>
      </c>
      <c r="T41" s="68">
        <v>500</v>
      </c>
      <c r="U41" s="69">
        <f>T41/3</f>
        <v>166.66666666666666</v>
      </c>
      <c r="V41" s="69"/>
      <c r="W41" s="68">
        <f>X41*1000000</f>
        <v>5541666.666666666</v>
      </c>
      <c r="X41" s="115">
        <f>(T41/1000)*POWER(U41/1000,2)*Q41</f>
        <v>5.5416666666666661</v>
      </c>
      <c r="Y41" s="75">
        <f>X41*L41</f>
        <v>6.2620833333333321</v>
      </c>
      <c r="Z41" s="75">
        <f>Y41*M41</f>
        <v>1.565520833333333</v>
      </c>
      <c r="AA41" s="75"/>
      <c r="AB41" s="74"/>
      <c r="AD41" s="74"/>
      <c r="AE41" s="74"/>
      <c r="AF41" s="115">
        <f t="shared" si="11"/>
        <v>0</v>
      </c>
      <c r="AG41" s="74"/>
      <c r="AH41" s="74"/>
      <c r="AI41" s="71">
        <f t="shared" si="15"/>
        <v>0</v>
      </c>
      <c r="AJ41" s="78"/>
    </row>
    <row r="42" spans="3:40" ht="36.65" customHeight="1" x14ac:dyDescent="0.35">
      <c r="C42" s="63" t="s">
        <v>325</v>
      </c>
      <c r="D42" s="63" t="s">
        <v>324</v>
      </c>
      <c r="E42" s="64" t="s">
        <v>505</v>
      </c>
      <c r="F42" s="63" t="s">
        <v>288</v>
      </c>
      <c r="G42" s="63" t="s">
        <v>565</v>
      </c>
      <c r="H42" s="65">
        <v>8.3180555555555541E-7</v>
      </c>
      <c r="I42" s="67"/>
      <c r="J42" s="67"/>
      <c r="L42" s="75" t="s">
        <v>62</v>
      </c>
      <c r="M42" s="75" t="s">
        <v>62</v>
      </c>
      <c r="N42" s="75" t="s">
        <v>62</v>
      </c>
      <c r="O42" s="75" t="s">
        <v>62</v>
      </c>
      <c r="P42" s="75" t="s">
        <v>62</v>
      </c>
      <c r="Q42" s="83">
        <v>530</v>
      </c>
      <c r="T42" s="68">
        <v>500</v>
      </c>
      <c r="U42" s="69">
        <f>T42/3</f>
        <v>166.66666666666666</v>
      </c>
      <c r="V42" s="69"/>
      <c r="W42" s="68">
        <f t="shared" ref="W42" si="16">X42*1000000</f>
        <v>7361111.111111111</v>
      </c>
      <c r="X42" s="115">
        <f>T42/1000*POWER(U42/1000,2)*Q42</f>
        <v>7.3611111111111107</v>
      </c>
      <c r="Y42" s="75">
        <f>X42*1.13</f>
        <v>8.3180555555555546</v>
      </c>
      <c r="Z42" s="75">
        <f>Y42*0.25</f>
        <v>2.0795138888888887</v>
      </c>
      <c r="AA42" s="75"/>
      <c r="AB42" s="74"/>
      <c r="AD42" s="74"/>
      <c r="AE42" s="74"/>
      <c r="AF42" s="115">
        <f t="shared" si="11"/>
        <v>0</v>
      </c>
      <c r="AG42" s="74"/>
      <c r="AH42" s="74"/>
      <c r="AI42" s="71">
        <f t="shared" si="15"/>
        <v>0</v>
      </c>
      <c r="AJ42" s="78"/>
    </row>
    <row r="43" spans="3:40" ht="36.65" customHeight="1" x14ac:dyDescent="0.35">
      <c r="C43" s="123" t="s">
        <v>889</v>
      </c>
      <c r="D43" s="123" t="s">
        <v>886</v>
      </c>
      <c r="E43" s="123" t="s">
        <v>887</v>
      </c>
      <c r="F43" s="123" t="s">
        <v>288</v>
      </c>
      <c r="G43" s="123" t="s">
        <v>888</v>
      </c>
      <c r="H43" s="123"/>
      <c r="I43" s="124"/>
      <c r="J43" s="67"/>
      <c r="L43" s="75" t="s">
        <v>62</v>
      </c>
      <c r="M43" s="75" t="s">
        <v>62</v>
      </c>
      <c r="N43" s="75" t="s">
        <v>62</v>
      </c>
      <c r="O43" s="75" t="s">
        <v>62</v>
      </c>
      <c r="P43" s="75" t="s">
        <v>62</v>
      </c>
      <c r="T43" s="68">
        <v>500</v>
      </c>
      <c r="U43" s="68" t="s">
        <v>62</v>
      </c>
      <c r="X43" s="114" t="s">
        <v>62</v>
      </c>
      <c r="Y43" s="68" t="s">
        <v>62</v>
      </c>
      <c r="Z43" s="75">
        <f>4.9*POWER(10,-8)*POWER(T43,2.75)</f>
        <v>1.2952797977146882</v>
      </c>
      <c r="AA43" s="68" t="s">
        <v>62</v>
      </c>
      <c r="AB43" s="68" t="s">
        <v>62</v>
      </c>
      <c r="AF43" s="115"/>
      <c r="AI43" s="71" t="e">
        <f t="shared" si="15"/>
        <v>#VALUE!</v>
      </c>
      <c r="AJ43" s="78"/>
    </row>
    <row r="44" spans="3:40" ht="32" x14ac:dyDescent="0.35">
      <c r="C44" s="63" t="s">
        <v>781</v>
      </c>
      <c r="D44" s="63" t="s">
        <v>769</v>
      </c>
      <c r="E44" s="64" t="s">
        <v>768</v>
      </c>
      <c r="F44" s="63"/>
      <c r="G44" s="63"/>
      <c r="H44" s="65"/>
      <c r="I44" s="65"/>
      <c r="J44" s="65"/>
      <c r="O44" s="75"/>
      <c r="P44" s="75"/>
      <c r="R44" s="75"/>
      <c r="S44" s="75"/>
      <c r="U44" s="69"/>
      <c r="V44" s="69"/>
      <c r="W44" s="75"/>
      <c r="X44" s="115"/>
      <c r="Y44" s="75"/>
      <c r="Z44" s="80"/>
      <c r="AA44" s="75"/>
      <c r="AB44" s="75"/>
      <c r="AD44" s="75"/>
      <c r="AE44" s="75"/>
      <c r="AF44" s="115"/>
      <c r="AG44" s="75"/>
      <c r="AH44" s="75"/>
      <c r="AI44" s="71" t="e">
        <f t="shared" si="15"/>
        <v>#DIV/0!</v>
      </c>
      <c r="AJ44" s="68"/>
      <c r="AK44" s="74"/>
      <c r="AL44" s="80"/>
      <c r="AM44" s="74"/>
      <c r="AN44" s="74"/>
    </row>
    <row r="45" spans="3:40" ht="35.15" customHeight="1" x14ac:dyDescent="0.35">
      <c r="C45" s="63" t="s">
        <v>787</v>
      </c>
      <c r="D45" s="63" t="s">
        <v>780</v>
      </c>
      <c r="E45" s="64" t="s">
        <v>779</v>
      </c>
      <c r="F45" s="63"/>
      <c r="G45" s="63"/>
      <c r="H45" s="65"/>
      <c r="I45" s="65"/>
      <c r="J45" s="65"/>
      <c r="O45" s="75"/>
      <c r="P45" s="75"/>
      <c r="R45" s="75"/>
      <c r="S45" s="75"/>
      <c r="U45" s="69"/>
      <c r="V45" s="69"/>
      <c r="W45" s="75"/>
      <c r="X45" s="115"/>
      <c r="Y45" s="75"/>
      <c r="Z45" s="80"/>
      <c r="AA45" s="75"/>
      <c r="AB45" s="75"/>
      <c r="AD45" s="75"/>
      <c r="AE45" s="75"/>
      <c r="AF45" s="115"/>
      <c r="AG45" s="75"/>
      <c r="AH45" s="75"/>
      <c r="AI45" s="71" t="e">
        <f t="shared" si="15"/>
        <v>#DIV/0!</v>
      </c>
      <c r="AJ45" s="68"/>
      <c r="AK45" s="74"/>
      <c r="AL45" s="80"/>
      <c r="AM45" s="74"/>
      <c r="AN45" s="74"/>
    </row>
    <row r="46" spans="3:40" ht="32" x14ac:dyDescent="0.35">
      <c r="C46" s="63" t="s">
        <v>784</v>
      </c>
      <c r="D46" s="63" t="s">
        <v>775</v>
      </c>
      <c r="E46" s="64" t="s">
        <v>774</v>
      </c>
      <c r="F46" s="63"/>
      <c r="G46" s="63"/>
      <c r="H46" s="65"/>
      <c r="I46" s="65"/>
      <c r="J46" s="65"/>
      <c r="O46" s="75"/>
      <c r="P46" s="75"/>
      <c r="R46" s="75"/>
      <c r="S46" s="75"/>
      <c r="U46" s="69"/>
      <c r="V46" s="69"/>
      <c r="W46" s="75"/>
      <c r="X46" s="115"/>
      <c r="Y46" s="75"/>
      <c r="Z46" s="80"/>
      <c r="AA46" s="75"/>
      <c r="AB46" s="75"/>
      <c r="AD46" s="75"/>
      <c r="AE46" s="75"/>
      <c r="AF46" s="115"/>
      <c r="AG46" s="75"/>
      <c r="AH46" s="75"/>
      <c r="AI46" s="71" t="e">
        <f t="shared" si="15"/>
        <v>#DIV/0!</v>
      </c>
      <c r="AJ46" s="68"/>
      <c r="AK46" s="74"/>
      <c r="AL46" s="80"/>
      <c r="AM46" s="74"/>
      <c r="AN46" s="74"/>
    </row>
    <row r="47" spans="3:40" ht="32" x14ac:dyDescent="0.35">
      <c r="C47" s="63" t="s">
        <v>783</v>
      </c>
      <c r="D47" s="63" t="s">
        <v>773</v>
      </c>
      <c r="E47" s="64" t="s">
        <v>772</v>
      </c>
      <c r="F47" s="63"/>
      <c r="G47" s="63"/>
      <c r="H47" s="65"/>
      <c r="I47" s="65"/>
      <c r="J47" s="65"/>
      <c r="O47" s="75"/>
      <c r="P47" s="75"/>
      <c r="R47" s="75"/>
      <c r="S47" s="75"/>
      <c r="U47" s="69"/>
      <c r="V47" s="69"/>
      <c r="W47" s="75"/>
      <c r="X47" s="115"/>
      <c r="Y47" s="75"/>
      <c r="Z47" s="80"/>
      <c r="AA47" s="75"/>
      <c r="AB47" s="75"/>
      <c r="AD47" s="75"/>
      <c r="AE47" s="75"/>
      <c r="AF47" s="115"/>
      <c r="AG47" s="75"/>
      <c r="AH47" s="75"/>
      <c r="AI47" s="71" t="e">
        <f t="shared" si="15"/>
        <v>#DIV/0!</v>
      </c>
      <c r="AJ47" s="68"/>
      <c r="AK47" s="74"/>
      <c r="AL47" s="80"/>
      <c r="AM47" s="74"/>
      <c r="AN47" s="74"/>
    </row>
    <row r="48" spans="3:40" ht="32" x14ac:dyDescent="0.35">
      <c r="C48" s="63" t="s">
        <v>786</v>
      </c>
      <c r="D48" s="63" t="s">
        <v>769</v>
      </c>
      <c r="E48" s="64" t="s">
        <v>778</v>
      </c>
      <c r="F48" s="63"/>
      <c r="G48" s="63"/>
      <c r="H48" s="65"/>
      <c r="I48" s="65"/>
      <c r="J48" s="65"/>
      <c r="O48" s="75"/>
      <c r="P48" s="75"/>
      <c r="R48" s="75"/>
      <c r="S48" s="75"/>
      <c r="U48" s="69"/>
      <c r="V48" s="69"/>
      <c r="W48" s="75"/>
      <c r="X48" s="115"/>
      <c r="Y48" s="75"/>
      <c r="Z48" s="80"/>
      <c r="AA48" s="75"/>
      <c r="AB48" s="75"/>
      <c r="AD48" s="75"/>
      <c r="AE48" s="75"/>
      <c r="AF48" s="115"/>
      <c r="AG48" s="75"/>
      <c r="AH48" s="75"/>
      <c r="AI48" s="71" t="e">
        <f t="shared" si="15"/>
        <v>#DIV/0!</v>
      </c>
      <c r="AJ48" s="68"/>
      <c r="AK48" s="74"/>
      <c r="AL48" s="80"/>
      <c r="AM48" s="74"/>
      <c r="AN48" s="74"/>
    </row>
    <row r="49" spans="1:40" ht="24" x14ac:dyDescent="0.35">
      <c r="C49" s="63" t="s">
        <v>782</v>
      </c>
      <c r="D49" s="63" t="s">
        <v>771</v>
      </c>
      <c r="E49" s="64" t="s">
        <v>770</v>
      </c>
      <c r="F49" s="63"/>
      <c r="G49" s="63"/>
      <c r="H49" s="65"/>
      <c r="I49" s="65"/>
      <c r="J49" s="65"/>
      <c r="O49" s="75"/>
      <c r="P49" s="75"/>
      <c r="R49" s="75"/>
      <c r="S49" s="75"/>
      <c r="U49" s="69"/>
      <c r="V49" s="69"/>
      <c r="W49" s="75"/>
      <c r="X49" s="115"/>
      <c r="Y49" s="75"/>
      <c r="Z49" s="80"/>
      <c r="AA49" s="75"/>
      <c r="AB49" s="75"/>
      <c r="AD49" s="75"/>
      <c r="AE49" s="75"/>
      <c r="AF49" s="115"/>
      <c r="AG49" s="75"/>
      <c r="AH49" s="75"/>
      <c r="AI49" s="71" t="e">
        <f t="shared" si="15"/>
        <v>#DIV/0!</v>
      </c>
      <c r="AJ49" s="68"/>
      <c r="AK49" s="74"/>
      <c r="AL49" s="80"/>
      <c r="AM49" s="74"/>
      <c r="AN49" s="74"/>
    </row>
    <row r="50" spans="1:40" ht="32" x14ac:dyDescent="0.35">
      <c r="C50" s="63" t="s">
        <v>785</v>
      </c>
      <c r="D50" s="63" t="s">
        <v>777</v>
      </c>
      <c r="E50" s="64" t="s">
        <v>776</v>
      </c>
      <c r="F50" s="63"/>
      <c r="G50" s="63"/>
      <c r="H50" s="65"/>
      <c r="I50" s="65"/>
      <c r="J50" s="65"/>
      <c r="O50" s="75"/>
      <c r="P50" s="75"/>
      <c r="R50" s="75"/>
      <c r="S50" s="75"/>
      <c r="U50" s="69"/>
      <c r="V50" s="69"/>
      <c r="W50" s="75"/>
      <c r="X50" s="115"/>
      <c r="Y50" s="75"/>
      <c r="Z50" s="80"/>
      <c r="AA50" s="75"/>
      <c r="AB50" s="75"/>
      <c r="AD50" s="75"/>
      <c r="AE50" s="75"/>
      <c r="AF50" s="115"/>
      <c r="AG50" s="75"/>
      <c r="AH50" s="75"/>
      <c r="AI50" s="71" t="e">
        <f t="shared" si="15"/>
        <v>#DIV/0!</v>
      </c>
      <c r="AJ50" s="68"/>
      <c r="AK50" s="74"/>
      <c r="AL50" s="80"/>
      <c r="AM50" s="74"/>
      <c r="AN50" s="74"/>
    </row>
    <row r="51" spans="1:40" ht="40" x14ac:dyDescent="0.35">
      <c r="C51" s="63" t="s">
        <v>333</v>
      </c>
      <c r="D51" s="63" t="s">
        <v>334</v>
      </c>
      <c r="E51" s="64" t="s">
        <v>523</v>
      </c>
      <c r="F51" s="63" t="s">
        <v>288</v>
      </c>
      <c r="G51" s="63" t="s">
        <v>565</v>
      </c>
      <c r="H51" s="65" t="s">
        <v>554</v>
      </c>
      <c r="I51" s="67"/>
      <c r="J51" s="67"/>
      <c r="L51" s="75" t="s">
        <v>62</v>
      </c>
      <c r="M51" s="75" t="s">
        <v>62</v>
      </c>
      <c r="N51" s="75" t="s">
        <v>62</v>
      </c>
      <c r="O51" s="75" t="s">
        <v>62</v>
      </c>
      <c r="P51" s="75" t="s">
        <v>62</v>
      </c>
      <c r="T51" s="68">
        <v>500</v>
      </c>
      <c r="U51" s="68" t="s">
        <v>62</v>
      </c>
      <c r="W51" s="68" t="s">
        <v>62</v>
      </c>
      <c r="X51" s="114" t="s">
        <v>62</v>
      </c>
      <c r="Y51" s="68" t="s">
        <v>62</v>
      </c>
      <c r="Z51" s="75">
        <f>1.1*POWER(10,-7)*POWER(T51,2.59)</f>
        <v>1.0757837909385959</v>
      </c>
      <c r="AA51" s="68" t="s">
        <v>62</v>
      </c>
      <c r="AB51" s="68" t="s">
        <v>62</v>
      </c>
      <c r="AI51" s="71" t="e">
        <f t="shared" si="15"/>
        <v>#VALUE!</v>
      </c>
      <c r="AJ51" s="78"/>
      <c r="AK51" s="68">
        <f>Z51/POWER(10,6)</f>
        <v>1.0757837909385959E-6</v>
      </c>
    </row>
    <row r="52" spans="1:40" ht="25" x14ac:dyDescent="0.35">
      <c r="C52" s="63" t="s">
        <v>335</v>
      </c>
      <c r="D52" s="63" t="s">
        <v>334</v>
      </c>
      <c r="E52" s="64" t="s">
        <v>524</v>
      </c>
      <c r="F52" s="63" t="s">
        <v>288</v>
      </c>
      <c r="G52" s="63" t="s">
        <v>565</v>
      </c>
      <c r="H52" s="65" t="s">
        <v>556</v>
      </c>
      <c r="I52" s="67"/>
      <c r="J52" s="67"/>
      <c r="L52" s="75" t="s">
        <v>62</v>
      </c>
      <c r="M52" s="75" t="s">
        <v>62</v>
      </c>
      <c r="N52" s="75" t="s">
        <v>62</v>
      </c>
      <c r="O52" s="75" t="s">
        <v>62</v>
      </c>
      <c r="P52" s="75" t="s">
        <v>62</v>
      </c>
      <c r="T52" s="68">
        <v>500</v>
      </c>
      <c r="U52" s="68" t="s">
        <v>62</v>
      </c>
      <c r="W52" s="68" t="s">
        <v>62</v>
      </c>
      <c r="X52" s="114" t="s">
        <v>62</v>
      </c>
      <c r="Y52" s="68" t="s">
        <v>62</v>
      </c>
      <c r="Z52" s="75">
        <f>12.51*POWER((T52/1000),4.4)</f>
        <v>0.59255044522015876</v>
      </c>
      <c r="AA52" s="68" t="s">
        <v>62</v>
      </c>
      <c r="AB52" s="68" t="s">
        <v>62</v>
      </c>
      <c r="AI52" s="71" t="e">
        <f t="shared" si="15"/>
        <v>#VALUE!</v>
      </c>
      <c r="AJ52" s="78"/>
      <c r="AK52" s="68">
        <f>Z52/POWER(10,6)</f>
        <v>5.9255044522015876E-7</v>
      </c>
    </row>
    <row r="53" spans="1:40" ht="21" customHeight="1" x14ac:dyDescent="0.35">
      <c r="C53" s="63" t="s">
        <v>728</v>
      </c>
      <c r="D53" s="63" t="s">
        <v>827</v>
      </c>
      <c r="E53" s="64" t="s">
        <v>826</v>
      </c>
      <c r="F53" s="63"/>
      <c r="G53" s="63"/>
      <c r="H53" s="65"/>
      <c r="I53" s="67"/>
      <c r="J53" s="67"/>
      <c r="O53" s="75"/>
      <c r="P53" s="75"/>
      <c r="Z53" s="75"/>
      <c r="AI53" s="71" t="e">
        <f t="shared" si="15"/>
        <v>#DIV/0!</v>
      </c>
      <c r="AJ53" s="78"/>
    </row>
    <row r="54" spans="1:40" ht="72" x14ac:dyDescent="0.35">
      <c r="C54" s="63" t="s">
        <v>718</v>
      </c>
      <c r="D54" s="63"/>
      <c r="E54" s="64" t="s">
        <v>723</v>
      </c>
      <c r="F54" s="63" t="s">
        <v>288</v>
      </c>
      <c r="G54" s="63" t="s">
        <v>722</v>
      </c>
      <c r="H54" s="65">
        <f>AB54</f>
        <v>7.9468535876384566E-7</v>
      </c>
      <c r="I54" s="67"/>
      <c r="J54" s="100"/>
      <c r="L54" s="75" t="s">
        <v>62</v>
      </c>
      <c r="M54" s="75">
        <v>0.89</v>
      </c>
      <c r="N54" s="75">
        <v>0.4</v>
      </c>
      <c r="O54" s="75" t="s">
        <v>62</v>
      </c>
      <c r="P54" s="75" t="s">
        <v>62</v>
      </c>
      <c r="Q54" s="83" t="s">
        <v>62</v>
      </c>
      <c r="T54" s="68">
        <v>500</v>
      </c>
      <c r="U54" s="69"/>
      <c r="V54" s="69"/>
      <c r="W54" s="68">
        <f>PI()*( (500*190*200)/6 )+ PI()*500*(POWER(190,2))/4</f>
        <v>24124813.58569162</v>
      </c>
      <c r="X54" s="115"/>
      <c r="Y54" s="75"/>
      <c r="Z54" s="75">
        <f>M54*AK54</f>
        <v>1.986713396909614</v>
      </c>
      <c r="AA54" s="75">
        <f>Z54*N54</f>
        <v>0.79468535876384561</v>
      </c>
      <c r="AB54" s="74">
        <f>AA54/1000000</f>
        <v>7.9468535876384566E-7</v>
      </c>
      <c r="AD54" s="74"/>
      <c r="AE54" s="74"/>
      <c r="AF54" s="118"/>
      <c r="AG54" s="75">
        <f>AB54*POWER(10,6)</f>
        <v>0.79468535876384561</v>
      </c>
      <c r="AH54" s="74"/>
      <c r="AI54" s="71">
        <f t="shared" si="15"/>
        <v>3.2940580284324852E-2</v>
      </c>
      <c r="AJ54" s="78"/>
      <c r="AK54" s="68">
        <f>POWER(10,(3.16*(LOG(T54)))-8.18)</f>
        <v>2.2322622437186674</v>
      </c>
      <c r="AL54" s="68" t="s">
        <v>719</v>
      </c>
    </row>
    <row r="55" spans="1:40" ht="25" x14ac:dyDescent="0.35">
      <c r="C55" s="63" t="s">
        <v>336</v>
      </c>
      <c r="D55" s="63" t="s">
        <v>334</v>
      </c>
      <c r="E55" s="64" t="s">
        <v>525</v>
      </c>
      <c r="F55" s="63" t="s">
        <v>288</v>
      </c>
      <c r="G55" s="63" t="s">
        <v>565</v>
      </c>
      <c r="H55" s="65" t="s">
        <v>555</v>
      </c>
      <c r="I55" s="67"/>
      <c r="J55" s="67"/>
      <c r="L55" s="75" t="s">
        <v>62</v>
      </c>
      <c r="M55" s="75" t="s">
        <v>62</v>
      </c>
      <c r="N55" s="75" t="s">
        <v>62</v>
      </c>
      <c r="O55" s="75" t="s">
        <v>62</v>
      </c>
      <c r="P55" s="75" t="s">
        <v>62</v>
      </c>
      <c r="T55" s="68">
        <v>500</v>
      </c>
      <c r="U55" s="68" t="s">
        <v>62</v>
      </c>
      <c r="W55" s="68" t="s">
        <v>62</v>
      </c>
      <c r="X55" s="114" t="s">
        <v>62</v>
      </c>
      <c r="Y55" s="68" t="s">
        <v>62</v>
      </c>
      <c r="Z55" s="75">
        <f>1.1*POWER(10,-5)*POWER(T55,1.89)</f>
        <v>1.3881806721269621</v>
      </c>
      <c r="AA55" s="68" t="s">
        <v>62</v>
      </c>
      <c r="AB55" s="68" t="s">
        <v>62</v>
      </c>
      <c r="AG55" s="75"/>
      <c r="AI55" s="71" t="e">
        <f t="shared" si="15"/>
        <v>#VALUE!</v>
      </c>
      <c r="AJ55" s="78"/>
      <c r="AK55" s="68">
        <f>Z55/POWER(10,6)</f>
        <v>1.3881806721269621E-6</v>
      </c>
    </row>
    <row r="56" spans="1:40" ht="16" x14ac:dyDescent="0.35">
      <c r="C56" s="63" t="s">
        <v>728</v>
      </c>
      <c r="D56" s="63" t="s">
        <v>741</v>
      </c>
      <c r="E56" s="64" t="s">
        <v>738</v>
      </c>
      <c r="F56" s="63"/>
      <c r="G56" s="63"/>
      <c r="H56" s="65"/>
      <c r="I56" s="67"/>
      <c r="J56" s="67"/>
      <c r="O56" s="75"/>
      <c r="P56" s="75"/>
      <c r="U56" s="69"/>
      <c r="V56" s="69"/>
      <c r="X56" s="115"/>
      <c r="Y56" s="75"/>
      <c r="Z56" s="75"/>
      <c r="AA56" s="75"/>
      <c r="AB56" s="74"/>
      <c r="AD56" s="74"/>
      <c r="AE56" s="74"/>
      <c r="AF56" s="118"/>
      <c r="AG56" s="75"/>
      <c r="AH56" s="74"/>
      <c r="AI56" s="71" t="e">
        <f t="shared" si="15"/>
        <v>#DIV/0!</v>
      </c>
      <c r="AJ56" s="78"/>
    </row>
    <row r="57" spans="1:40" ht="64" x14ac:dyDescent="0.35">
      <c r="C57" s="63" t="s">
        <v>825</v>
      </c>
      <c r="D57" s="63" t="s">
        <v>811</v>
      </c>
      <c r="E57" s="64" t="s">
        <v>810</v>
      </c>
      <c r="F57" s="63"/>
      <c r="G57" s="63"/>
      <c r="H57" s="65"/>
      <c r="I57" s="67"/>
      <c r="J57" s="67"/>
      <c r="O57" s="75"/>
      <c r="P57" s="75"/>
      <c r="U57" s="69"/>
      <c r="V57" s="69"/>
      <c r="X57" s="115"/>
      <c r="Y57" s="75"/>
      <c r="Z57" s="75"/>
      <c r="AA57" s="75"/>
      <c r="AB57" s="74"/>
      <c r="AD57" s="74"/>
      <c r="AE57" s="74"/>
      <c r="AF57" s="118"/>
      <c r="AG57" s="75"/>
      <c r="AH57" s="74"/>
      <c r="AI57" s="71" t="e">
        <f t="shared" si="15"/>
        <v>#DIV/0!</v>
      </c>
      <c r="AJ57" s="78"/>
    </row>
    <row r="58" spans="1:40" ht="24" x14ac:dyDescent="0.35">
      <c r="C58" s="63" t="s">
        <v>822</v>
      </c>
      <c r="D58" s="63" t="s">
        <v>823</v>
      </c>
      <c r="E58" s="64" t="s">
        <v>824</v>
      </c>
      <c r="F58" s="63"/>
      <c r="G58" s="63"/>
      <c r="H58" s="65"/>
      <c r="I58" s="67"/>
      <c r="J58" s="67"/>
      <c r="O58" s="75"/>
      <c r="P58" s="75"/>
      <c r="U58" s="69"/>
      <c r="V58" s="69"/>
      <c r="X58" s="115"/>
      <c r="Y58" s="75"/>
      <c r="Z58" s="75"/>
      <c r="AA58" s="75"/>
      <c r="AB58" s="74"/>
      <c r="AD58" s="74"/>
      <c r="AE58" s="74"/>
      <c r="AF58" s="118"/>
      <c r="AG58" s="75"/>
      <c r="AH58" s="74"/>
      <c r="AI58" s="71" t="e">
        <f t="shared" si="15"/>
        <v>#DIV/0!</v>
      </c>
      <c r="AJ58" s="78"/>
    </row>
    <row r="59" spans="1:40" ht="40" x14ac:dyDescent="0.35">
      <c r="C59" s="63" t="s">
        <v>327</v>
      </c>
      <c r="D59" s="63" t="s">
        <v>328</v>
      </c>
      <c r="E59" s="64" t="s">
        <v>329</v>
      </c>
      <c r="F59" s="63" t="s">
        <v>288</v>
      </c>
      <c r="G59" s="63" t="s">
        <v>565</v>
      </c>
      <c r="H59" s="65" t="s">
        <v>552</v>
      </c>
      <c r="I59" s="67"/>
      <c r="J59" s="67"/>
      <c r="L59" s="75" t="s">
        <v>62</v>
      </c>
      <c r="M59" s="75" t="s">
        <v>62</v>
      </c>
      <c r="N59" s="75" t="s">
        <v>62</v>
      </c>
      <c r="O59" s="75" t="s">
        <v>62</v>
      </c>
      <c r="P59" s="75" t="s">
        <v>62</v>
      </c>
      <c r="T59" s="68">
        <v>500</v>
      </c>
      <c r="U59" s="69">
        <f t="shared" ref="U59:U60" si="17">T59/3</f>
        <v>166.66666666666666</v>
      </c>
      <c r="V59" s="69"/>
      <c r="W59" s="68" t="s">
        <v>62</v>
      </c>
      <c r="X59" s="115" t="s">
        <v>62</v>
      </c>
      <c r="Y59" s="68" t="s">
        <v>62</v>
      </c>
      <c r="Z59" s="75">
        <f>POWER(EXP(1),-16.41)*POWER(T59,2.74)</f>
        <v>1.8552624892301257</v>
      </c>
      <c r="AA59" s="75" t="s">
        <v>62</v>
      </c>
      <c r="AB59" s="74" t="s">
        <v>62</v>
      </c>
      <c r="AD59" s="74"/>
      <c r="AE59" s="74"/>
      <c r="AF59" s="118"/>
      <c r="AG59" s="75"/>
      <c r="AH59" s="74"/>
      <c r="AI59" s="71" t="e">
        <f t="shared" si="15"/>
        <v>#VALUE!</v>
      </c>
      <c r="AJ59" s="78"/>
      <c r="AK59" s="68">
        <f>Z59/POWER(10,6)</f>
        <v>1.8552624892301258E-6</v>
      </c>
    </row>
    <row r="60" spans="1:40" ht="40" x14ac:dyDescent="0.35">
      <c r="C60" s="63" t="s">
        <v>330</v>
      </c>
      <c r="D60" s="63" t="s">
        <v>328</v>
      </c>
      <c r="E60" s="64" t="s">
        <v>331</v>
      </c>
      <c r="F60" s="63" t="s">
        <v>288</v>
      </c>
      <c r="G60" s="63" t="s">
        <v>565</v>
      </c>
      <c r="H60" s="65" t="s">
        <v>553</v>
      </c>
      <c r="I60" s="67"/>
      <c r="J60" s="67"/>
      <c r="L60" s="75" t="s">
        <v>62</v>
      </c>
      <c r="M60" s="75" t="s">
        <v>62</v>
      </c>
      <c r="N60" s="75" t="s">
        <v>62</v>
      </c>
      <c r="O60" s="75" t="s">
        <v>62</v>
      </c>
      <c r="P60" s="75" t="s">
        <v>62</v>
      </c>
      <c r="T60" s="68">
        <v>500</v>
      </c>
      <c r="U60" s="69">
        <f t="shared" si="17"/>
        <v>166.66666666666666</v>
      </c>
      <c r="V60" s="69"/>
      <c r="W60" s="68" t="s">
        <v>62</v>
      </c>
      <c r="X60" s="115" t="s">
        <v>62</v>
      </c>
      <c r="Y60" s="68" t="s">
        <v>62</v>
      </c>
      <c r="Z60" s="75">
        <f>POWER(EXP(1),-11.64)*POWER(T60,1.96)</f>
        <v>1.7170915030716556</v>
      </c>
      <c r="AA60" s="75" t="s">
        <v>62</v>
      </c>
      <c r="AB60" s="74" t="s">
        <v>62</v>
      </c>
      <c r="AD60" s="74"/>
      <c r="AE60" s="74"/>
      <c r="AF60" s="118"/>
      <c r="AG60" s="75"/>
      <c r="AH60" s="74"/>
      <c r="AI60" s="71" t="e">
        <f t="shared" si="15"/>
        <v>#VALUE!</v>
      </c>
      <c r="AJ60" s="78"/>
      <c r="AK60" s="68">
        <f>Z60/POWER(10,6)</f>
        <v>1.7170915030716556E-6</v>
      </c>
    </row>
    <row r="61" spans="1:40" ht="64" x14ac:dyDescent="0.35">
      <c r="C61" s="63" t="s">
        <v>332</v>
      </c>
      <c r="D61" s="63" t="s">
        <v>324</v>
      </c>
      <c r="E61" s="64" t="s">
        <v>507</v>
      </c>
      <c r="F61" s="63" t="s">
        <v>288</v>
      </c>
      <c r="G61" s="63" t="s">
        <v>565</v>
      </c>
      <c r="H61" s="65">
        <v>7.0624999999999991E-7</v>
      </c>
      <c r="I61" s="67"/>
      <c r="J61" s="67"/>
      <c r="L61" s="75" t="s">
        <v>62</v>
      </c>
      <c r="M61" s="75" t="s">
        <v>62</v>
      </c>
      <c r="N61" s="75" t="s">
        <v>62</v>
      </c>
      <c r="O61" s="75" t="s">
        <v>62</v>
      </c>
      <c r="P61" s="75" t="s">
        <v>62</v>
      </c>
      <c r="Q61" s="83">
        <v>450</v>
      </c>
      <c r="T61" s="68">
        <v>500</v>
      </c>
      <c r="U61" s="69">
        <f>T61/3</f>
        <v>166.66666666666666</v>
      </c>
      <c r="V61" s="69"/>
      <c r="W61" s="68">
        <f>X61*1000000</f>
        <v>6250000</v>
      </c>
      <c r="X61" s="115">
        <f>T61/1000*POWER(U61/1000,2)*Q61</f>
        <v>6.25</v>
      </c>
      <c r="Y61" s="75">
        <f>X61*1.13</f>
        <v>7.0624999999999991</v>
      </c>
      <c r="Z61" s="75">
        <f>Y61*0.25</f>
        <v>1.7656249999999998</v>
      </c>
      <c r="AA61" s="75">
        <f>Z61*0.4</f>
        <v>0.70624999999999993</v>
      </c>
      <c r="AB61" s="74">
        <f>AA61/1000000</f>
        <v>7.0624999999999991E-7</v>
      </c>
      <c r="AD61" s="75"/>
      <c r="AE61" s="74"/>
      <c r="AF61" s="118"/>
      <c r="AG61" s="75">
        <f t="shared" ref="AG61:AG76" si="18">AB61*POWER(10,6)</f>
        <v>0.70624999999999993</v>
      </c>
      <c r="AH61" s="74"/>
      <c r="AI61" s="71">
        <f t="shared" si="15"/>
        <v>0.11299999999999998</v>
      </c>
      <c r="AJ61" s="78"/>
      <c r="AK61" s="68">
        <f>Z61/POWER(10,6)</f>
        <v>1.7656249999999997E-6</v>
      </c>
    </row>
    <row r="62" spans="1:40" ht="64" x14ac:dyDescent="0.35">
      <c r="C62" s="63" t="s">
        <v>326</v>
      </c>
      <c r="D62" s="63" t="s">
        <v>324</v>
      </c>
      <c r="E62" s="64" t="s">
        <v>506</v>
      </c>
      <c r="F62" s="63" t="s">
        <v>288</v>
      </c>
      <c r="G62" s="63" t="s">
        <v>565</v>
      </c>
      <c r="H62" s="65">
        <v>6.2777777777777774E-7</v>
      </c>
      <c r="I62" s="67"/>
      <c r="J62" s="67"/>
      <c r="L62" s="75" t="s">
        <v>62</v>
      </c>
      <c r="M62" s="75" t="s">
        <v>62</v>
      </c>
      <c r="N62" s="75" t="s">
        <v>62</v>
      </c>
      <c r="O62" s="75" t="s">
        <v>62</v>
      </c>
      <c r="P62" s="75" t="s">
        <v>62</v>
      </c>
      <c r="Q62" s="83">
        <v>400</v>
      </c>
      <c r="T62" s="68">
        <v>500</v>
      </c>
      <c r="U62" s="69">
        <f>T62/3</f>
        <v>166.66666666666666</v>
      </c>
      <c r="V62" s="69"/>
      <c r="W62" s="68">
        <f>X62*1000000</f>
        <v>5555555.555555555</v>
      </c>
      <c r="X62" s="115">
        <f>T62/1000*POWER(U62/1000,2)*Q62</f>
        <v>5.5555555555555554</v>
      </c>
      <c r="Y62" s="75">
        <f>X62*1.13</f>
        <v>6.2777777777777768</v>
      </c>
      <c r="Z62" s="75">
        <f>Y62*0.25</f>
        <v>1.5694444444444442</v>
      </c>
      <c r="AA62" s="75">
        <f>Z62*0.4</f>
        <v>0.62777777777777777</v>
      </c>
      <c r="AB62" s="74">
        <f>AA62/1000000</f>
        <v>6.2777777777777774E-7</v>
      </c>
      <c r="AD62" s="74"/>
      <c r="AE62" s="74"/>
      <c r="AF62" s="118"/>
      <c r="AG62" s="75">
        <f t="shared" si="18"/>
        <v>0.62777777777777777</v>
      </c>
      <c r="AH62" s="74"/>
      <c r="AI62" s="71">
        <f t="shared" si="15"/>
        <v>0.113</v>
      </c>
      <c r="AJ62" s="78"/>
    </row>
    <row r="63" spans="1:40" ht="49" x14ac:dyDescent="0.35">
      <c r="C63" s="63" t="s">
        <v>322</v>
      </c>
      <c r="D63" s="63" t="s">
        <v>308</v>
      </c>
      <c r="E63" s="64" t="s">
        <v>519</v>
      </c>
      <c r="F63" s="63" t="s">
        <v>536</v>
      </c>
      <c r="G63" s="63" t="s">
        <v>565</v>
      </c>
      <c r="H63" s="65">
        <f>AB63</f>
        <v>7.9994257383073436E-7</v>
      </c>
      <c r="I63" s="67"/>
      <c r="J63" s="100"/>
      <c r="L63" s="75">
        <v>1.1000000000000001</v>
      </c>
      <c r="M63" s="75">
        <v>0.25</v>
      </c>
      <c r="N63" s="75">
        <v>0.4</v>
      </c>
      <c r="O63" s="68">
        <f>L63*M63*N63</f>
        <v>0.11000000000000001</v>
      </c>
      <c r="P63" s="68" t="s">
        <v>62</v>
      </c>
      <c r="T63" s="68">
        <v>500</v>
      </c>
      <c r="U63" s="69">
        <f t="shared" ref="U63:U68" si="19">T63/3</f>
        <v>166.66666666666666</v>
      </c>
      <c r="V63" s="69"/>
      <c r="W63" s="70">
        <f>4/3*PI()*(T63/2)*POWER(U63,2)</f>
        <v>29088820.866572153</v>
      </c>
      <c r="X63" s="117">
        <f>((T63*(POWER(U63,2))*PI())/6)/1000000</f>
        <v>7.2722052166430382</v>
      </c>
      <c r="Y63" s="79">
        <f>X63*1.1</f>
        <v>7.9994257383073428</v>
      </c>
      <c r="Z63" s="80">
        <f>Y63*0.25</f>
        <v>1.9998564345768357</v>
      </c>
      <c r="AA63" s="80">
        <f>Z63*0.4</f>
        <v>0.7999425738307343</v>
      </c>
      <c r="AB63" s="74">
        <f>AA63/1000000</f>
        <v>7.9994257383073436E-7</v>
      </c>
      <c r="AD63" s="74"/>
      <c r="AE63" s="74"/>
      <c r="AF63" s="118"/>
      <c r="AG63" s="75">
        <f t="shared" si="18"/>
        <v>0.7999425738307343</v>
      </c>
      <c r="AH63" s="74"/>
      <c r="AI63" s="71">
        <f t="shared" si="15"/>
        <v>2.7500000000000004E-2</v>
      </c>
      <c r="AJ63" s="78"/>
    </row>
    <row r="64" spans="1:40" ht="32" x14ac:dyDescent="0.35">
      <c r="A64" s="97"/>
      <c r="C64" s="63" t="s">
        <v>133</v>
      </c>
      <c r="D64" s="63" t="s">
        <v>130</v>
      </c>
      <c r="E64" s="64" t="s">
        <v>799</v>
      </c>
      <c r="F64" s="63" t="s">
        <v>62</v>
      </c>
      <c r="G64" s="63" t="s">
        <v>565</v>
      </c>
      <c r="H64" s="65" t="s">
        <v>62</v>
      </c>
      <c r="I64" s="65"/>
      <c r="J64" s="65"/>
      <c r="L64" s="75" t="s">
        <v>62</v>
      </c>
      <c r="M64" s="75" t="s">
        <v>62</v>
      </c>
      <c r="N64" s="75" t="s">
        <v>62</v>
      </c>
      <c r="O64" s="75" t="s">
        <v>62</v>
      </c>
      <c r="P64" s="75" t="s">
        <v>62</v>
      </c>
      <c r="R64" s="75"/>
      <c r="S64" s="75"/>
      <c r="T64" s="68">
        <v>500</v>
      </c>
      <c r="U64" s="69">
        <f t="shared" si="19"/>
        <v>166.66666666666666</v>
      </c>
      <c r="V64" s="69"/>
      <c r="W64" s="75"/>
      <c r="X64" s="115"/>
      <c r="Y64" s="75">
        <f>T64*POWER(U64,2)/1600000</f>
        <v>8.6805555555555536</v>
      </c>
      <c r="Z64" s="80"/>
      <c r="AA64" s="75"/>
      <c r="AB64" s="75"/>
      <c r="AD64" s="75"/>
      <c r="AE64" s="75"/>
      <c r="AF64" s="115"/>
      <c r="AG64" s="75">
        <f t="shared" si="18"/>
        <v>0</v>
      </c>
      <c r="AH64" s="75"/>
      <c r="AI64" s="71"/>
      <c r="AJ64" s="68"/>
      <c r="AK64" s="74"/>
      <c r="AL64" s="80"/>
      <c r="AM64" s="74"/>
      <c r="AN64" s="74"/>
    </row>
    <row r="65" spans="3:44" ht="64" x14ac:dyDescent="0.35">
      <c r="C65" s="63" t="s">
        <v>133</v>
      </c>
      <c r="D65" s="63" t="s">
        <v>324</v>
      </c>
      <c r="E65" s="64" t="s">
        <v>505</v>
      </c>
      <c r="F65" s="63" t="s">
        <v>288</v>
      </c>
      <c r="G65" s="63" t="s">
        <v>565</v>
      </c>
      <c r="H65" s="65">
        <v>8.6319444444444434E-7</v>
      </c>
      <c r="I65" s="67"/>
      <c r="J65" s="100"/>
      <c r="L65" s="75" t="s">
        <v>62</v>
      </c>
      <c r="M65" s="75" t="s">
        <v>62</v>
      </c>
      <c r="N65" s="75" t="s">
        <v>62</v>
      </c>
      <c r="O65" s="75" t="s">
        <v>62</v>
      </c>
      <c r="P65" s="75" t="s">
        <v>62</v>
      </c>
      <c r="Q65" s="83">
        <v>530</v>
      </c>
      <c r="T65" s="68">
        <v>500</v>
      </c>
      <c r="U65" s="69">
        <f>T65/3</f>
        <v>166.66666666666666</v>
      </c>
      <c r="V65" s="69"/>
      <c r="W65" s="68">
        <f>X65*1000000</f>
        <v>7361111.111111111</v>
      </c>
      <c r="X65" s="115">
        <f>T65/1000*POWER(U65/1000,2)*Q65</f>
        <v>7.3611111111111107</v>
      </c>
      <c r="Y65" s="75">
        <f>X65*1.13</f>
        <v>8.3180555555555546</v>
      </c>
      <c r="Z65" s="75">
        <f>Y65*0.25</f>
        <v>2.0795138888888887</v>
      </c>
      <c r="AA65" s="75">
        <f>Z65*0.4</f>
        <v>0.83180555555555546</v>
      </c>
      <c r="AB65" s="74">
        <f>AA65/1000000</f>
        <v>8.3180555555555541E-7</v>
      </c>
      <c r="AD65" s="74"/>
      <c r="AE65" s="74"/>
      <c r="AF65" s="118"/>
      <c r="AG65" s="75">
        <f t="shared" si="18"/>
        <v>0.83180555555555546</v>
      </c>
      <c r="AH65" s="74"/>
      <c r="AI65" s="71">
        <f t="shared" si="15"/>
        <v>0.11299999999999999</v>
      </c>
      <c r="AJ65" s="78"/>
      <c r="AK65" s="68">
        <f>Z65/POWER(10,6)</f>
        <v>2.0795138888888888E-6</v>
      </c>
    </row>
    <row r="66" spans="3:44" ht="56" x14ac:dyDescent="0.35">
      <c r="C66" s="63" t="s">
        <v>133</v>
      </c>
      <c r="D66" s="63" t="s">
        <v>713</v>
      </c>
      <c r="E66" s="64" t="s">
        <v>714</v>
      </c>
      <c r="F66" s="63" t="s">
        <v>288</v>
      </c>
      <c r="G66" s="63" t="s">
        <v>565</v>
      </c>
      <c r="H66" s="65" t="s">
        <v>62</v>
      </c>
      <c r="I66" s="67"/>
      <c r="J66" s="67"/>
      <c r="L66" s="75">
        <v>1.0840000000000001</v>
      </c>
      <c r="M66" s="75">
        <v>0.25</v>
      </c>
      <c r="N66" s="75" t="s">
        <v>62</v>
      </c>
      <c r="O66" s="75" t="s">
        <v>62</v>
      </c>
      <c r="P66" s="75" t="s">
        <v>62</v>
      </c>
      <c r="Q66" s="83">
        <v>530</v>
      </c>
      <c r="T66" s="68">
        <v>500</v>
      </c>
      <c r="U66" s="69">
        <f t="shared" si="19"/>
        <v>166.66666666666666</v>
      </c>
      <c r="V66" s="69"/>
      <c r="W66" s="68">
        <f>X66/POWER(10,-6)</f>
        <v>7361111.111111111</v>
      </c>
      <c r="X66" s="115">
        <f>T66/1000*POWER(U66/1000,2)*Q66</f>
        <v>7.3611111111111107</v>
      </c>
      <c r="Y66" s="75">
        <f>X66*L66</f>
        <v>7.9794444444444448</v>
      </c>
      <c r="Z66" s="75">
        <f>Y66*M66</f>
        <v>1.9948611111111112</v>
      </c>
      <c r="AA66" s="75" t="e">
        <f>Z66*N66</f>
        <v>#VALUE!</v>
      </c>
      <c r="AB66" s="74" t="e">
        <f>AA66/1000000</f>
        <v>#VALUE!</v>
      </c>
      <c r="AD66" s="74"/>
      <c r="AE66" s="74"/>
      <c r="AF66" s="118"/>
      <c r="AG66" s="75"/>
      <c r="AH66" s="74"/>
      <c r="AI66" s="71"/>
      <c r="AJ66" s="78"/>
      <c r="AK66" s="68">
        <f>Z66/POWER(10,6)</f>
        <v>1.994861111111111E-6</v>
      </c>
    </row>
    <row r="67" spans="3:44" ht="56" x14ac:dyDescent="0.35">
      <c r="C67" s="63" t="s">
        <v>133</v>
      </c>
      <c r="D67" s="63" t="s">
        <v>725</v>
      </c>
      <c r="E67" s="64" t="s">
        <v>724</v>
      </c>
      <c r="F67" s="63" t="s">
        <v>288</v>
      </c>
      <c r="G67" s="63" t="s">
        <v>565</v>
      </c>
      <c r="H67" s="65" t="s">
        <v>62</v>
      </c>
      <c r="I67" s="67"/>
      <c r="J67" s="67"/>
      <c r="L67" s="75">
        <v>1.1299999999999999</v>
      </c>
      <c r="M67" s="75">
        <v>0.25</v>
      </c>
      <c r="N67" s="75" t="s">
        <v>62</v>
      </c>
      <c r="O67" s="75" t="s">
        <v>62</v>
      </c>
      <c r="P67" s="75" t="s">
        <v>62</v>
      </c>
      <c r="Q67" s="83">
        <v>530</v>
      </c>
      <c r="T67" s="68">
        <v>500</v>
      </c>
      <c r="U67" s="69">
        <f t="shared" si="19"/>
        <v>166.66666666666666</v>
      </c>
      <c r="V67" s="69"/>
      <c r="W67" s="68">
        <f>X67/POWER(10,-6)</f>
        <v>7361111.111111111</v>
      </c>
      <c r="X67" s="115">
        <f>T67/1000*POWER(U67/1000,2)*Q67</f>
        <v>7.3611111111111107</v>
      </c>
      <c r="Y67" s="75">
        <f>X67*1.13</f>
        <v>8.3180555555555546</v>
      </c>
      <c r="Z67" s="75">
        <f>Y67*0.25</f>
        <v>2.0795138888888887</v>
      </c>
      <c r="AA67" s="75" t="s">
        <v>62</v>
      </c>
      <c r="AB67" s="74" t="e">
        <f>AA67/1000000</f>
        <v>#VALUE!</v>
      </c>
      <c r="AD67" s="74"/>
      <c r="AE67" s="74"/>
      <c r="AF67" s="118"/>
      <c r="AG67" s="75"/>
      <c r="AH67" s="74"/>
      <c r="AI67" s="71"/>
      <c r="AJ67" s="78"/>
      <c r="AK67" s="68">
        <f>Z67/POWER(10,6)</f>
        <v>2.0795138888888888E-6</v>
      </c>
    </row>
    <row r="68" spans="3:44" ht="48" x14ac:dyDescent="0.35">
      <c r="C68" s="63" t="s">
        <v>133</v>
      </c>
      <c r="D68" s="63" t="s">
        <v>764</v>
      </c>
      <c r="E68" s="64" t="s">
        <v>798</v>
      </c>
      <c r="F68" s="63" t="s">
        <v>62</v>
      </c>
      <c r="G68" s="63" t="s">
        <v>565</v>
      </c>
      <c r="H68" s="65" t="s">
        <v>62</v>
      </c>
      <c r="I68" s="65"/>
      <c r="J68" s="65"/>
      <c r="M68" s="75">
        <v>0.25</v>
      </c>
      <c r="O68" s="75"/>
      <c r="P68" s="75"/>
      <c r="R68" s="75"/>
      <c r="S68" s="75"/>
      <c r="T68" s="68">
        <v>500</v>
      </c>
      <c r="U68" s="69">
        <f t="shared" si="19"/>
        <v>166.66666666666666</v>
      </c>
      <c r="V68" s="69"/>
      <c r="W68" s="75"/>
      <c r="X68" s="115"/>
      <c r="Y68" s="75">
        <f>T68*POWER(U68,2)/1600000</f>
        <v>8.6805555555555536</v>
      </c>
      <c r="Z68" s="80">
        <f>Y68*0.25</f>
        <v>2.1701388888888884</v>
      </c>
      <c r="AA68" s="75"/>
      <c r="AB68" s="75"/>
      <c r="AD68" s="75"/>
      <c r="AE68" s="75"/>
      <c r="AF68" s="115"/>
      <c r="AG68" s="75"/>
      <c r="AH68" s="75"/>
      <c r="AI68" s="71"/>
      <c r="AJ68" s="68"/>
      <c r="AK68" s="74"/>
      <c r="AL68" s="80"/>
      <c r="AM68" s="74"/>
      <c r="AN68" s="74"/>
    </row>
    <row r="69" spans="3:44" ht="40" x14ac:dyDescent="0.35">
      <c r="C69" s="63" t="s">
        <v>805</v>
      </c>
      <c r="D69" s="63" t="s">
        <v>803</v>
      </c>
      <c r="E69" s="98" t="s">
        <v>800</v>
      </c>
      <c r="F69" s="63" t="s">
        <v>62</v>
      </c>
      <c r="G69" s="63" t="s">
        <v>804</v>
      </c>
      <c r="H69" s="65" t="s">
        <v>62</v>
      </c>
      <c r="I69" s="65"/>
      <c r="J69" s="65"/>
      <c r="L69" s="75">
        <v>1.1299999999999999</v>
      </c>
      <c r="M69" s="75" t="s">
        <v>62</v>
      </c>
      <c r="N69" s="75">
        <v>0.1</v>
      </c>
      <c r="O69" s="75" t="s">
        <v>62</v>
      </c>
      <c r="P69" s="75" t="s">
        <v>62</v>
      </c>
      <c r="R69" s="75"/>
      <c r="S69" s="75"/>
      <c r="T69" s="68">
        <v>500</v>
      </c>
      <c r="U69" s="69">
        <v>166.66666666666666</v>
      </c>
      <c r="V69" s="69"/>
      <c r="W69" s="75"/>
      <c r="X69" s="115"/>
      <c r="Y69" s="75">
        <v>8.6805555555555536</v>
      </c>
      <c r="Z69" s="75"/>
      <c r="AA69" s="75">
        <f>Y69*N69</f>
        <v>0.86805555555555536</v>
      </c>
      <c r="AB69" s="74">
        <f>AA69/1000000</f>
        <v>8.6805555555555539E-7</v>
      </c>
      <c r="AD69" s="74"/>
      <c r="AE69" s="74"/>
      <c r="AF69" s="118"/>
      <c r="AG69" s="75">
        <f t="shared" si="18"/>
        <v>0.86805555555555536</v>
      </c>
      <c r="AH69" s="74"/>
      <c r="AI69" s="71"/>
      <c r="AJ69" s="68"/>
      <c r="AK69" s="74"/>
      <c r="AL69" s="80"/>
      <c r="AM69" s="74"/>
      <c r="AN69" s="74"/>
    </row>
    <row r="70" spans="3:44" ht="64" x14ac:dyDescent="0.35">
      <c r="C70" s="63" t="s">
        <v>337</v>
      </c>
      <c r="D70" s="63" t="s">
        <v>324</v>
      </c>
      <c r="E70" s="64" t="s">
        <v>505</v>
      </c>
      <c r="F70" s="63" t="s">
        <v>288</v>
      </c>
      <c r="G70" s="63" t="s">
        <v>565</v>
      </c>
      <c r="H70" s="65">
        <v>8.3180555555555541E-7</v>
      </c>
      <c r="I70" s="67"/>
      <c r="J70" s="100"/>
      <c r="L70" s="75">
        <v>1.1299999999999999</v>
      </c>
      <c r="M70" s="75" t="s">
        <v>62</v>
      </c>
      <c r="N70" s="75" t="s">
        <v>62</v>
      </c>
      <c r="O70" s="75" t="s">
        <v>62</v>
      </c>
      <c r="P70" s="75" t="s">
        <v>62</v>
      </c>
      <c r="Q70" s="83">
        <v>530</v>
      </c>
      <c r="T70" s="68">
        <v>500</v>
      </c>
      <c r="U70" s="69">
        <f>T70/3</f>
        <v>166.66666666666666</v>
      </c>
      <c r="V70" s="69"/>
      <c r="W70" s="68">
        <f>X70*1000000</f>
        <v>7361111.111111111</v>
      </c>
      <c r="X70" s="115">
        <f>T70/1000*POWER(U70/1000,2)*Q70</f>
        <v>7.3611111111111107</v>
      </c>
      <c r="Y70" s="75">
        <f>X70*1.13</f>
        <v>8.3180555555555546</v>
      </c>
      <c r="Z70" s="75">
        <f>Y70*0.25</f>
        <v>2.0795138888888887</v>
      </c>
      <c r="AA70" s="75">
        <f>Z70*0.4</f>
        <v>0.83180555555555546</v>
      </c>
      <c r="AB70" s="74">
        <f>AA70/1000000</f>
        <v>8.3180555555555541E-7</v>
      </c>
      <c r="AD70" s="74"/>
      <c r="AE70" s="74"/>
      <c r="AF70" s="118"/>
      <c r="AG70" s="75">
        <f t="shared" si="18"/>
        <v>0.83180555555555546</v>
      </c>
      <c r="AH70" s="74"/>
      <c r="AI70" s="71">
        <f t="shared" ref="AI70:AI76" si="20">(AA70*POWER(10,6))/W70</f>
        <v>0.11299999999999999</v>
      </c>
      <c r="AJ70" s="78"/>
      <c r="AK70" s="68">
        <f>Z70/POWER(10,6)</f>
        <v>2.0795138888888888E-6</v>
      </c>
    </row>
    <row r="71" spans="3:44" ht="64" x14ac:dyDescent="0.35">
      <c r="C71" s="63" t="s">
        <v>338</v>
      </c>
      <c r="D71" s="63" t="s">
        <v>324</v>
      </c>
      <c r="E71" s="64" t="s">
        <v>507</v>
      </c>
      <c r="F71" s="63" t="s">
        <v>288</v>
      </c>
      <c r="G71" s="63" t="s">
        <v>565</v>
      </c>
      <c r="H71" s="65">
        <v>7.0624999999999991E-7</v>
      </c>
      <c r="I71" s="67"/>
      <c r="J71" s="100"/>
      <c r="L71" s="75">
        <v>1.1299999999999999</v>
      </c>
      <c r="M71" s="75" t="s">
        <v>62</v>
      </c>
      <c r="N71" s="75" t="s">
        <v>62</v>
      </c>
      <c r="O71" s="75" t="s">
        <v>62</v>
      </c>
      <c r="P71" s="75" t="s">
        <v>62</v>
      </c>
      <c r="Q71" s="83">
        <v>450</v>
      </c>
      <c r="T71" s="68">
        <v>500</v>
      </c>
      <c r="U71" s="69">
        <f>T71/3</f>
        <v>166.66666666666666</v>
      </c>
      <c r="V71" s="69"/>
      <c r="W71" s="68">
        <f>X71*1000000</f>
        <v>6250000</v>
      </c>
      <c r="X71" s="115">
        <f>T71/1000*POWER(U71/1000,2)*Q71</f>
        <v>6.25</v>
      </c>
      <c r="Y71" s="75">
        <f>X71*1.13</f>
        <v>7.0624999999999991</v>
      </c>
      <c r="Z71" s="75">
        <f>Y71*0.25</f>
        <v>1.7656249999999998</v>
      </c>
      <c r="AA71" s="75">
        <f>Z71*0.4</f>
        <v>0.70624999999999993</v>
      </c>
      <c r="AB71" s="74">
        <f>AA71/1000000</f>
        <v>7.0624999999999991E-7</v>
      </c>
      <c r="AD71" s="74"/>
      <c r="AE71" s="74"/>
      <c r="AF71" s="118"/>
      <c r="AG71" s="75">
        <f t="shared" si="18"/>
        <v>0.70624999999999993</v>
      </c>
      <c r="AH71" s="74"/>
      <c r="AI71" s="71">
        <f t="shared" si="20"/>
        <v>0.11299999999999998</v>
      </c>
      <c r="AJ71" s="78"/>
      <c r="AK71" s="68">
        <f>Z71/POWER(10,6)</f>
        <v>1.7656249999999997E-6</v>
      </c>
    </row>
    <row r="72" spans="3:44" ht="24" x14ac:dyDescent="0.35">
      <c r="C72" s="63" t="s">
        <v>339</v>
      </c>
      <c r="D72" s="63" t="s">
        <v>340</v>
      </c>
      <c r="E72" s="64"/>
      <c r="F72" s="63" t="s">
        <v>341</v>
      </c>
      <c r="G72" s="63" t="s">
        <v>565</v>
      </c>
      <c r="H72" s="65" t="s">
        <v>62</v>
      </c>
      <c r="I72" s="67"/>
      <c r="J72" s="67"/>
      <c r="L72" s="75" t="s">
        <v>62</v>
      </c>
      <c r="M72" s="75" t="s">
        <v>62</v>
      </c>
      <c r="N72" s="75" t="s">
        <v>62</v>
      </c>
      <c r="O72" s="75" t="s">
        <v>62</v>
      </c>
      <c r="P72" s="75" t="s">
        <v>62</v>
      </c>
      <c r="T72" s="68">
        <v>500</v>
      </c>
      <c r="U72" s="69">
        <f>T72/3</f>
        <v>166.66666666666666</v>
      </c>
      <c r="V72" s="69"/>
      <c r="W72" s="70">
        <f>4/3*PI()*(T72/2)*POWER(U72,2)</f>
        <v>29088820.866572153</v>
      </c>
      <c r="X72" s="115"/>
      <c r="Y72" s="75"/>
      <c r="Z72" s="75"/>
      <c r="AA72" s="75"/>
      <c r="AB72" s="74"/>
      <c r="AD72" s="74"/>
      <c r="AE72" s="74"/>
      <c r="AF72" s="118"/>
      <c r="AG72" s="75">
        <f t="shared" si="18"/>
        <v>0</v>
      </c>
      <c r="AH72" s="74"/>
      <c r="AI72" s="71">
        <f t="shared" si="20"/>
        <v>0</v>
      </c>
      <c r="AJ72" s="78"/>
      <c r="AK72" s="68">
        <f>Z72/POWER(10,6)</f>
        <v>0</v>
      </c>
    </row>
    <row r="73" spans="3:44" ht="64" x14ac:dyDescent="0.35">
      <c r="C73" s="63" t="s">
        <v>342</v>
      </c>
      <c r="D73" s="63" t="s">
        <v>324</v>
      </c>
      <c r="E73" s="64" t="s">
        <v>508</v>
      </c>
      <c r="F73" s="63" t="s">
        <v>288</v>
      </c>
      <c r="G73" s="63" t="s">
        <v>565</v>
      </c>
      <c r="H73" s="65">
        <v>9.6363888888888866E-7</v>
      </c>
      <c r="I73" s="67"/>
      <c r="J73" s="100"/>
      <c r="L73" s="75" t="s">
        <v>62</v>
      </c>
      <c r="M73" s="75" t="s">
        <v>62</v>
      </c>
      <c r="N73" s="75" t="s">
        <v>62</v>
      </c>
      <c r="O73" s="75" t="s">
        <v>62</v>
      </c>
      <c r="P73" s="75" t="s">
        <v>62</v>
      </c>
      <c r="Q73" s="83">
        <v>614</v>
      </c>
      <c r="T73" s="68">
        <v>500</v>
      </c>
      <c r="U73" s="69">
        <f>T73/3</f>
        <v>166.66666666666666</v>
      </c>
      <c r="V73" s="69"/>
      <c r="W73" s="68">
        <f>X73*1000000</f>
        <v>8527777.7777777761</v>
      </c>
      <c r="X73" s="115">
        <f>T73/1000*POWER(U73/1000,2)*Q73</f>
        <v>8.5277777777777768</v>
      </c>
      <c r="Y73" s="75">
        <f>X73*1.13</f>
        <v>9.6363888888888862</v>
      </c>
      <c r="Z73" s="75">
        <f>Y73*0.25</f>
        <v>2.4090972222222216</v>
      </c>
      <c r="AA73" s="75">
        <f>Z73*0.4</f>
        <v>0.96363888888888871</v>
      </c>
      <c r="AB73" s="74">
        <f>AA73/1000000</f>
        <v>9.6363888888888866E-7</v>
      </c>
      <c r="AD73" s="74"/>
      <c r="AE73" s="74"/>
      <c r="AF73" s="118"/>
      <c r="AG73" s="75">
        <f t="shared" si="18"/>
        <v>0.96363888888888871</v>
      </c>
      <c r="AH73" s="74"/>
      <c r="AI73" s="71">
        <f t="shared" si="20"/>
        <v>0.113</v>
      </c>
      <c r="AJ73" s="78"/>
      <c r="AK73" s="68">
        <f>Z73/POWER(10,6)</f>
        <v>2.4090972222222215E-6</v>
      </c>
    </row>
    <row r="74" spans="3:44" ht="64" x14ac:dyDescent="0.35">
      <c r="C74" s="63" t="s">
        <v>343</v>
      </c>
      <c r="D74" s="63" t="s">
        <v>324</v>
      </c>
      <c r="E74" s="64" t="s">
        <v>509</v>
      </c>
      <c r="F74" s="63" t="s">
        <v>288</v>
      </c>
      <c r="G74" s="63" t="s">
        <v>565</v>
      </c>
      <c r="H74" s="65">
        <v>8.6319444444444434E-7</v>
      </c>
      <c r="I74" s="67"/>
      <c r="J74" s="100"/>
      <c r="L74" s="75" t="s">
        <v>62</v>
      </c>
      <c r="M74" s="75" t="s">
        <v>62</v>
      </c>
      <c r="N74" s="75" t="s">
        <v>62</v>
      </c>
      <c r="O74" s="75" t="s">
        <v>62</v>
      </c>
      <c r="P74" s="75" t="s">
        <v>62</v>
      </c>
      <c r="Q74" s="83">
        <v>550</v>
      </c>
      <c r="T74" s="68">
        <v>500</v>
      </c>
      <c r="U74" s="69">
        <f>T74/3</f>
        <v>166.66666666666666</v>
      </c>
      <c r="V74" s="69"/>
      <c r="W74" s="68">
        <f>X74/POWER(10,-6)</f>
        <v>7638888.888888889</v>
      </c>
      <c r="X74" s="115">
        <f>T74/1000*POWER(U74/1000,2)*Q74</f>
        <v>7.6388888888888884</v>
      </c>
      <c r="Y74" s="75">
        <f>X74*1.13</f>
        <v>8.6319444444444429</v>
      </c>
      <c r="Z74" s="75">
        <f>Y74*0.25</f>
        <v>2.1579861111111107</v>
      </c>
      <c r="AA74" s="75">
        <f>Z74*0.4</f>
        <v>0.86319444444444438</v>
      </c>
      <c r="AB74" s="74">
        <f>AA74/1000000</f>
        <v>8.6319444444444434E-7</v>
      </c>
      <c r="AD74" s="74"/>
      <c r="AE74" s="74"/>
      <c r="AF74" s="118"/>
      <c r="AG74" s="75">
        <f t="shared" si="18"/>
        <v>0.86319444444444438</v>
      </c>
      <c r="AH74" s="74"/>
      <c r="AI74" s="71">
        <f t="shared" si="20"/>
        <v>0.11299999999999999</v>
      </c>
      <c r="AJ74" s="78"/>
      <c r="AK74" s="68">
        <f>Z74/POWER(10,6)</f>
        <v>2.1579861111111109E-6</v>
      </c>
    </row>
    <row r="75" spans="3:44" ht="40" x14ac:dyDescent="0.35">
      <c r="C75" s="63" t="s">
        <v>291</v>
      </c>
      <c r="D75" s="63" t="s">
        <v>287</v>
      </c>
      <c r="E75" s="64" t="s">
        <v>546</v>
      </c>
      <c r="F75" s="63" t="s">
        <v>306</v>
      </c>
      <c r="G75" s="63" t="s">
        <v>565</v>
      </c>
      <c r="H75" s="65">
        <f>AB75</f>
        <v>2.5598162362583506E-7</v>
      </c>
      <c r="I75" s="67"/>
      <c r="J75" s="100"/>
      <c r="L75" s="75">
        <v>2.2000000000000002</v>
      </c>
      <c r="M75" s="75">
        <v>1</v>
      </c>
      <c r="N75" s="75">
        <v>1</v>
      </c>
      <c r="O75" s="75">
        <f>L75</f>
        <v>2.2000000000000002</v>
      </c>
      <c r="P75" s="75" t="s">
        <v>62</v>
      </c>
      <c r="T75" s="68">
        <v>50</v>
      </c>
      <c r="U75" s="69">
        <f>T75*2/3</f>
        <v>33.333333333333336</v>
      </c>
      <c r="V75" s="69"/>
      <c r="W75" s="70">
        <f>4/3*PI()*(T75/2)*POWER(U75,2)</f>
        <v>116355.28346628865</v>
      </c>
      <c r="X75" s="116">
        <f>W75/POWER(10,6)</f>
        <v>0.11635528346628865</v>
      </c>
      <c r="Y75" s="70">
        <f t="shared" ref="Y75:AA76" si="21">X75*L75</f>
        <v>0.25598162362583504</v>
      </c>
      <c r="Z75" s="74">
        <f t="shared" si="21"/>
        <v>0.25598162362583504</v>
      </c>
      <c r="AA75" s="74">
        <f t="shared" si="21"/>
        <v>0.25598162362583504</v>
      </c>
      <c r="AB75" s="74">
        <f>AA75/1000000</f>
        <v>2.5598162362583506E-7</v>
      </c>
      <c r="AD75" s="74"/>
      <c r="AE75" s="74"/>
      <c r="AF75" s="118"/>
      <c r="AG75" s="75">
        <f t="shared" si="18"/>
        <v>0.25598162362583504</v>
      </c>
      <c r="AH75" s="74"/>
      <c r="AI75" s="71">
        <f t="shared" si="20"/>
        <v>2.2000000000000002</v>
      </c>
      <c r="AJ75" s="78"/>
    </row>
    <row r="76" spans="3:44" ht="40" x14ac:dyDescent="0.35">
      <c r="C76" s="63" t="s">
        <v>291</v>
      </c>
      <c r="D76" s="63" t="s">
        <v>287</v>
      </c>
      <c r="E76" s="63"/>
      <c r="F76" s="63" t="s">
        <v>344</v>
      </c>
      <c r="G76" s="63" t="s">
        <v>566</v>
      </c>
      <c r="H76" s="65">
        <f>AB76</f>
        <v>5.7595865315812876E-6</v>
      </c>
      <c r="I76" s="67"/>
      <c r="J76" s="100"/>
      <c r="L76" s="75">
        <v>2.2000000000000002</v>
      </c>
      <c r="M76" s="75">
        <v>1</v>
      </c>
      <c r="N76" s="75">
        <v>1</v>
      </c>
      <c r="O76" s="75">
        <f>L76</f>
        <v>2.2000000000000002</v>
      </c>
      <c r="P76" s="68" t="s">
        <v>62</v>
      </c>
      <c r="T76" s="68">
        <v>500</v>
      </c>
      <c r="U76" s="69">
        <v>50</v>
      </c>
      <c r="V76" s="69"/>
      <c r="W76" s="70">
        <f>4/3*PI()*(T76/2)*POWER(U76,2)</f>
        <v>2617993.8779914943</v>
      </c>
      <c r="X76" s="116">
        <f>W76/POWER(10,6)</f>
        <v>2.6179938779914944</v>
      </c>
      <c r="Y76" s="70">
        <f t="shared" si="21"/>
        <v>5.759586531581288</v>
      </c>
      <c r="Z76" s="74">
        <f t="shared" si="21"/>
        <v>5.759586531581288</v>
      </c>
      <c r="AA76" s="74">
        <f t="shared" si="21"/>
        <v>5.759586531581288</v>
      </c>
      <c r="AB76" s="74">
        <f>AA76/1000000</f>
        <v>5.7595865315812876E-6</v>
      </c>
      <c r="AD76" s="74"/>
      <c r="AE76" s="74"/>
      <c r="AF76" s="118"/>
      <c r="AG76" s="75">
        <f t="shared" si="18"/>
        <v>5.759586531581288</v>
      </c>
      <c r="AH76" s="74"/>
      <c r="AI76" s="71">
        <f t="shared" si="20"/>
        <v>2.2000000000000002</v>
      </c>
      <c r="AJ76" s="78"/>
      <c r="AK76" s="68">
        <f>Z76/POWER(10,6)</f>
        <v>5.7595865315812876E-6</v>
      </c>
    </row>
    <row r="77" spans="3:44" x14ac:dyDescent="0.35">
      <c r="AG77" s="75"/>
      <c r="AI77" s="71"/>
      <c r="AJ77" s="78"/>
    </row>
    <row r="78" spans="3:44" x14ac:dyDescent="0.35">
      <c r="P78" s="75"/>
      <c r="AG78" s="75"/>
      <c r="AI78" s="71"/>
    </row>
    <row r="79" spans="3:44" x14ac:dyDescent="0.35">
      <c r="Z79" s="83"/>
      <c r="AG79" s="75"/>
      <c r="AI79" s="71"/>
      <c r="AJ79" s="68"/>
      <c r="AN79" s="51"/>
      <c r="AO79" s="51"/>
      <c r="AP79" s="51"/>
      <c r="AQ79" s="51"/>
      <c r="AR79" s="51"/>
    </row>
    <row r="80" spans="3:44" x14ac:dyDescent="0.35">
      <c r="Z80" s="83"/>
      <c r="AG80" s="75"/>
      <c r="AI80" s="71"/>
      <c r="AJ80" s="68"/>
      <c r="AN80" s="51"/>
      <c r="AO80" s="51"/>
      <c r="AP80" s="51"/>
      <c r="AQ80" s="51"/>
      <c r="AR80" s="51"/>
    </row>
    <row r="81" spans="26:44" x14ac:dyDescent="0.35">
      <c r="Z81" s="83"/>
      <c r="AG81" s="75"/>
      <c r="AI81" s="71"/>
      <c r="AJ81" s="68"/>
      <c r="AN81" s="51"/>
      <c r="AO81" s="51"/>
      <c r="AP81" s="51"/>
      <c r="AQ81" s="51"/>
      <c r="AR81" s="51"/>
    </row>
    <row r="82" spans="26:44" x14ac:dyDescent="0.35">
      <c r="AI82" s="71"/>
    </row>
    <row r="83" spans="26:44" x14ac:dyDescent="0.35">
      <c r="AI83" s="71"/>
    </row>
    <row r="84" spans="26:44" x14ac:dyDescent="0.35">
      <c r="AI84" s="71"/>
    </row>
    <row r="85" spans="26:44" x14ac:dyDescent="0.35">
      <c r="AI85" s="71"/>
    </row>
    <row r="86" spans="26:44" x14ac:dyDescent="0.35">
      <c r="AI86" s="71"/>
    </row>
    <row r="87" spans="26:44" x14ac:dyDescent="0.35">
      <c r="AI87" s="71"/>
    </row>
    <row r="88" spans="26:44" x14ac:dyDescent="0.35">
      <c r="AI88" s="71"/>
    </row>
    <row r="89" spans="26:44" x14ac:dyDescent="0.35">
      <c r="AI89" s="71"/>
    </row>
    <row r="90" spans="26:44" x14ac:dyDescent="0.35">
      <c r="AI90" s="71"/>
    </row>
    <row r="91" spans="26:44" x14ac:dyDescent="0.35">
      <c r="AI91" s="71"/>
    </row>
    <row r="92" spans="26:44" x14ac:dyDescent="0.35">
      <c r="AI92" s="71"/>
    </row>
    <row r="93" spans="26:44" x14ac:dyDescent="0.35">
      <c r="AI93" s="71"/>
    </row>
    <row r="94" spans="26:44" x14ac:dyDescent="0.35">
      <c r="AI94" s="71"/>
    </row>
    <row r="95" spans="26:44" x14ac:dyDescent="0.35">
      <c r="AI95" s="71"/>
    </row>
    <row r="96" spans="26:44" x14ac:dyDescent="0.35">
      <c r="AI96" s="71"/>
    </row>
    <row r="97" spans="35:35" x14ac:dyDescent="0.35">
      <c r="AI97" s="71"/>
    </row>
    <row r="98" spans="35:35" x14ac:dyDescent="0.35">
      <c r="AI98" s="71"/>
    </row>
    <row r="99" spans="35:35" x14ac:dyDescent="0.35">
      <c r="AI99" s="71"/>
    </row>
  </sheetData>
  <sortState xmlns:xlrd2="http://schemas.microsoft.com/office/spreadsheetml/2017/richdata2" ref="AS1:AS32">
    <sortCondition ref="AS1:AS32"/>
  </sortState>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693A9-B798-4D2C-AB9F-B3F50E887653}">
  <dimension ref="B1:AD69"/>
  <sheetViews>
    <sheetView zoomScaleNormal="100" workbookViewId="0"/>
  </sheetViews>
  <sheetFormatPr defaultRowHeight="14.5" x14ac:dyDescent="0.35"/>
  <cols>
    <col min="2" max="2" width="12.36328125" bestFit="1" customWidth="1"/>
    <col min="3" max="3" width="11.81640625" bestFit="1" customWidth="1"/>
    <col min="4" max="4" width="12.26953125" bestFit="1" customWidth="1"/>
    <col min="5" max="5" width="12.7265625" bestFit="1" customWidth="1"/>
    <col min="6" max="6" width="14.1796875" bestFit="1" customWidth="1"/>
    <col min="9" max="9" width="12.453125" style="1" bestFit="1" customWidth="1"/>
    <col min="10" max="10" width="11.81640625" style="1" bestFit="1" customWidth="1"/>
    <col min="11" max="11" width="12.26953125" style="1" bestFit="1" customWidth="1"/>
    <col min="12" max="12" width="12.7265625" style="1" bestFit="1" customWidth="1"/>
    <col min="13" max="13" width="14.1796875" style="1" bestFit="1" customWidth="1"/>
    <col min="14" max="16" width="14.1796875" style="1" customWidth="1"/>
    <col min="17" max="17" width="13.81640625" style="1" customWidth="1"/>
    <col min="18" max="18" width="12" style="45" bestFit="1" customWidth="1"/>
    <col min="19" max="19" width="19.81640625" style="1" customWidth="1"/>
  </cols>
  <sheetData>
    <row r="1" spans="2:26" x14ac:dyDescent="0.35">
      <c r="B1" s="1" t="s">
        <v>444</v>
      </c>
      <c r="C1" s="1"/>
      <c r="D1" s="1"/>
      <c r="E1" s="1"/>
      <c r="F1" s="1"/>
      <c r="H1" t="s">
        <v>388</v>
      </c>
      <c r="I1" s="44" t="s">
        <v>389</v>
      </c>
      <c r="J1" s="44" t="s">
        <v>390</v>
      </c>
      <c r="K1" s="44" t="s">
        <v>391</v>
      </c>
      <c r="L1" s="49" t="s">
        <v>393</v>
      </c>
      <c r="M1" s="44" t="s">
        <v>443</v>
      </c>
      <c r="N1" s="44" t="s">
        <v>392</v>
      </c>
      <c r="O1" s="44" t="s">
        <v>1074</v>
      </c>
      <c r="P1" s="44" t="s">
        <v>443</v>
      </c>
      <c r="Q1" s="44" t="s">
        <v>394</v>
      </c>
      <c r="R1" s="49" t="s">
        <v>395</v>
      </c>
      <c r="S1" s="44"/>
      <c r="T1" s="1" t="s">
        <v>171</v>
      </c>
      <c r="U1" s="1" t="s">
        <v>62</v>
      </c>
      <c r="V1" s="1" t="s">
        <v>397</v>
      </c>
      <c r="W1" s="45">
        <v>1</v>
      </c>
      <c r="X1" s="1">
        <v>1</v>
      </c>
      <c r="Y1" s="45" t="s">
        <v>62</v>
      </c>
      <c r="Z1" s="1"/>
    </row>
    <row r="2" spans="2:26" x14ac:dyDescent="0.35">
      <c r="B2" s="1"/>
      <c r="C2" s="1"/>
      <c r="D2" s="1"/>
      <c r="E2" s="1"/>
      <c r="F2" s="1"/>
      <c r="I2" s="1" t="s">
        <v>396</v>
      </c>
      <c r="J2" s="1">
        <v>1</v>
      </c>
      <c r="K2" s="1" t="s">
        <v>397</v>
      </c>
      <c r="L2" s="45">
        <f>J14</f>
        <v>1.6000000000000001E-8</v>
      </c>
      <c r="M2" s="1">
        <v>7</v>
      </c>
      <c r="N2" s="45">
        <f>L14</f>
        <v>2.0000000000000001E-17</v>
      </c>
      <c r="O2" s="45">
        <f>N2/0.1</f>
        <v>2E-16</v>
      </c>
      <c r="P2" s="1">
        <v>11</v>
      </c>
      <c r="Q2" s="1" t="s">
        <v>185</v>
      </c>
      <c r="R2" s="45" t="s">
        <v>198</v>
      </c>
      <c r="T2" s="1" t="s">
        <v>171</v>
      </c>
      <c r="U2" s="1" t="s">
        <v>62</v>
      </c>
      <c r="V2" s="1" t="s">
        <v>398</v>
      </c>
      <c r="W2" s="45">
        <f>POWER(10,-3)</f>
        <v>1E-3</v>
      </c>
      <c r="X2" s="1">
        <v>1</v>
      </c>
      <c r="Y2" s="45" t="s">
        <v>62</v>
      </c>
      <c r="Z2" s="1"/>
    </row>
    <row r="3" spans="2:26" x14ac:dyDescent="0.35">
      <c r="B3" s="48" t="s">
        <v>159</v>
      </c>
      <c r="C3" t="s">
        <v>422</v>
      </c>
      <c r="D3" t="s">
        <v>442</v>
      </c>
      <c r="E3" t="s">
        <v>160</v>
      </c>
      <c r="F3" t="s">
        <v>161</v>
      </c>
      <c r="I3" s="1" t="s">
        <v>396</v>
      </c>
      <c r="J3" s="1">
        <v>1</v>
      </c>
      <c r="K3" s="1" t="s">
        <v>398</v>
      </c>
      <c r="L3" s="45">
        <f>K14</f>
        <v>3.9999999999999998E-7</v>
      </c>
      <c r="M3" s="1">
        <v>7</v>
      </c>
      <c r="N3" s="45">
        <f>M14</f>
        <v>1.0000000000000001E-15</v>
      </c>
      <c r="O3" s="45">
        <f t="shared" ref="O3:O10" si="0">N3/0.1</f>
        <v>1E-14</v>
      </c>
      <c r="P3" s="1">
        <v>11</v>
      </c>
      <c r="Q3" s="1" t="s">
        <v>183</v>
      </c>
      <c r="R3" s="45" t="s">
        <v>198</v>
      </c>
      <c r="T3" s="1" t="s">
        <v>177</v>
      </c>
      <c r="U3" s="1" t="s">
        <v>62</v>
      </c>
      <c r="V3" s="1" t="s">
        <v>397</v>
      </c>
      <c r="W3" s="45">
        <f>POWER(10,-3)</f>
        <v>1E-3</v>
      </c>
      <c r="X3" s="1">
        <v>1</v>
      </c>
      <c r="Y3" s="45" t="s">
        <v>62</v>
      </c>
      <c r="Z3" s="1"/>
    </row>
    <row r="4" spans="2:26" x14ac:dyDescent="0.35">
      <c r="B4" s="28">
        <v>1</v>
      </c>
      <c r="C4" s="36">
        <v>1.6000000000000001E-8</v>
      </c>
      <c r="D4" s="36">
        <v>3.9999999999999998E-7</v>
      </c>
      <c r="E4" s="36">
        <v>2.0000000000000001E-17</v>
      </c>
      <c r="F4" s="36">
        <v>1.0000000000000001E-15</v>
      </c>
      <c r="I4" s="1" t="s">
        <v>399</v>
      </c>
      <c r="J4" s="1">
        <v>2</v>
      </c>
      <c r="K4" s="1" t="s">
        <v>397</v>
      </c>
      <c r="L4" s="45">
        <f>J15</f>
        <v>1.2000000000000002E-7</v>
      </c>
      <c r="M4" s="1">
        <v>6</v>
      </c>
      <c r="N4" s="45">
        <f>L15</f>
        <v>1.4999999999999999E-15</v>
      </c>
      <c r="O4" s="45">
        <f t="shared" si="0"/>
        <v>1.4999999999999999E-14</v>
      </c>
      <c r="P4" s="1">
        <v>10</v>
      </c>
      <c r="Q4" s="1" t="s">
        <v>183</v>
      </c>
      <c r="R4" s="45" t="s">
        <v>198</v>
      </c>
      <c r="T4" s="1" t="s">
        <v>177</v>
      </c>
      <c r="U4" s="1" t="s">
        <v>62</v>
      </c>
      <c r="V4" s="1" t="s">
        <v>398</v>
      </c>
      <c r="W4" s="45">
        <f>POWER(10,-6)</f>
        <v>9.9999999999999995E-7</v>
      </c>
      <c r="X4" s="1">
        <v>1</v>
      </c>
      <c r="Y4" s="45" t="s">
        <v>62</v>
      </c>
      <c r="Z4" s="1"/>
    </row>
    <row r="5" spans="2:26" x14ac:dyDescent="0.35">
      <c r="B5" s="28">
        <v>2</v>
      </c>
      <c r="C5" s="36">
        <v>1.2000000000000002E-7</v>
      </c>
      <c r="D5" s="36">
        <v>9.4999999999999992E-5</v>
      </c>
      <c r="E5" s="36">
        <v>1.4999999999999999E-15</v>
      </c>
      <c r="F5" s="36">
        <v>8.885E-13</v>
      </c>
      <c r="I5" s="1" t="s">
        <v>399</v>
      </c>
      <c r="J5" s="1">
        <v>2</v>
      </c>
      <c r="K5" s="1" t="s">
        <v>398</v>
      </c>
      <c r="L5" s="45">
        <f>K15</f>
        <v>9.4999999999999992E-5</v>
      </c>
      <c r="M5" s="1">
        <v>6</v>
      </c>
      <c r="N5" s="45">
        <f>M15</f>
        <v>8.885E-13</v>
      </c>
      <c r="O5" s="45">
        <f t="shared" si="0"/>
        <v>8.8850000000000002E-12</v>
      </c>
      <c r="P5" s="1">
        <v>10</v>
      </c>
      <c r="Q5" s="1" t="s">
        <v>183</v>
      </c>
      <c r="R5" s="45" t="s">
        <v>197</v>
      </c>
      <c r="T5" s="1" t="s">
        <v>179</v>
      </c>
      <c r="U5" s="1" t="s">
        <v>62</v>
      </c>
      <c r="V5" s="1" t="s">
        <v>397</v>
      </c>
      <c r="W5" s="45">
        <f>POWER(10,-6)</f>
        <v>9.9999999999999995E-7</v>
      </c>
      <c r="X5" s="1">
        <v>1</v>
      </c>
      <c r="Y5" s="45" t="s">
        <v>62</v>
      </c>
      <c r="Z5" s="1"/>
    </row>
    <row r="6" spans="2:26" x14ac:dyDescent="0.35">
      <c r="B6" s="28">
        <v>3</v>
      </c>
      <c r="C6" s="36">
        <v>1.06E-6</v>
      </c>
      <c r="D6" s="36">
        <v>3.31E-3</v>
      </c>
      <c r="E6" s="36">
        <v>8.0000000000000002E-13</v>
      </c>
      <c r="F6" s="36">
        <v>1.8801286659413292E-6</v>
      </c>
      <c r="I6" s="1" t="s">
        <v>870</v>
      </c>
      <c r="J6" s="1">
        <v>3</v>
      </c>
      <c r="K6" s="1" t="s">
        <v>397</v>
      </c>
      <c r="L6" s="45">
        <f>J16</f>
        <v>1.06E-6</v>
      </c>
      <c r="M6" s="1">
        <v>4</v>
      </c>
      <c r="N6" s="45">
        <f>L16</f>
        <v>8.0000000000000002E-13</v>
      </c>
      <c r="O6" s="45">
        <f t="shared" si="0"/>
        <v>7.9999999999999998E-12</v>
      </c>
      <c r="P6" s="1">
        <v>5</v>
      </c>
      <c r="Q6" s="1" t="s">
        <v>183</v>
      </c>
      <c r="R6" s="45" t="s">
        <v>197</v>
      </c>
      <c r="T6" s="1" t="s">
        <v>179</v>
      </c>
      <c r="U6" s="1" t="s">
        <v>62</v>
      </c>
      <c r="V6" s="1" t="s">
        <v>398</v>
      </c>
      <c r="W6" s="45">
        <f>POWER(10,-9)</f>
        <v>1.0000000000000001E-9</v>
      </c>
      <c r="X6" s="1">
        <v>1</v>
      </c>
      <c r="Y6" s="45" t="s">
        <v>62</v>
      </c>
      <c r="Z6" s="1"/>
    </row>
    <row r="7" spans="2:26" x14ac:dyDescent="0.35">
      <c r="B7" s="28">
        <v>4</v>
      </c>
      <c r="C7" s="36">
        <v>6.4999999999999994E-5</v>
      </c>
      <c r="D7" s="36">
        <v>1.6174999999999998E-2</v>
      </c>
      <c r="E7" s="36">
        <v>3.9543161280887781E-9</v>
      </c>
      <c r="F7" s="36">
        <v>1E-4</v>
      </c>
      <c r="I7" s="1" t="s">
        <v>870</v>
      </c>
      <c r="J7" s="1">
        <v>3</v>
      </c>
      <c r="K7" s="1" t="s">
        <v>398</v>
      </c>
      <c r="L7" s="45">
        <f>K16</f>
        <v>3.31E-3</v>
      </c>
      <c r="M7" s="1">
        <v>4</v>
      </c>
      <c r="N7" s="45">
        <f>M16</f>
        <v>1.8801286659413292E-6</v>
      </c>
      <c r="O7" s="45">
        <f t="shared" si="0"/>
        <v>1.880128665941329E-5</v>
      </c>
      <c r="P7" s="1">
        <v>5</v>
      </c>
      <c r="Q7" s="45" t="s">
        <v>177</v>
      </c>
      <c r="R7" s="45" t="s">
        <v>196</v>
      </c>
      <c r="T7" s="1" t="s">
        <v>181</v>
      </c>
      <c r="U7" s="1" t="s">
        <v>62</v>
      </c>
      <c r="V7" s="1" t="s">
        <v>397</v>
      </c>
      <c r="W7" s="45">
        <f>POWER(10,-9)</f>
        <v>1.0000000000000001E-9</v>
      </c>
      <c r="X7" s="1">
        <v>1</v>
      </c>
      <c r="Y7" s="45" t="s">
        <v>62</v>
      </c>
      <c r="Z7" s="1"/>
    </row>
    <row r="8" spans="2:26" x14ac:dyDescent="0.35">
      <c r="B8" s="28">
        <v>5</v>
      </c>
      <c r="C8" s="36">
        <v>5.0000000000000001E-4</v>
      </c>
      <c r="D8" s="36">
        <v>0.2</v>
      </c>
      <c r="E8" s="36">
        <v>1E-4</v>
      </c>
      <c r="F8" s="36">
        <v>2</v>
      </c>
      <c r="I8" s="1" t="s">
        <v>1035</v>
      </c>
      <c r="J8" s="1">
        <v>4</v>
      </c>
      <c r="K8" s="1" t="s">
        <v>397</v>
      </c>
      <c r="L8" s="45">
        <f>J17</f>
        <v>6.4999999999999994E-5</v>
      </c>
      <c r="M8" s="1">
        <v>3</v>
      </c>
      <c r="N8" s="45">
        <f>L17</f>
        <v>3.9543161280887781E-9</v>
      </c>
      <c r="O8" s="45">
        <f t="shared" si="0"/>
        <v>3.9543161280887779E-8</v>
      </c>
      <c r="P8" s="1">
        <v>3</v>
      </c>
      <c r="Q8" s="1" t="s">
        <v>183</v>
      </c>
      <c r="R8" s="45" t="s">
        <v>197</v>
      </c>
      <c r="T8" s="1" t="s">
        <v>181</v>
      </c>
      <c r="U8" s="1" t="s">
        <v>62</v>
      </c>
      <c r="V8" s="1" t="s">
        <v>398</v>
      </c>
      <c r="W8" s="45">
        <f>POWER(10,-12)</f>
        <v>9.9999999999999998E-13</v>
      </c>
      <c r="X8" s="1">
        <v>1</v>
      </c>
      <c r="Y8" s="45" t="s">
        <v>62</v>
      </c>
      <c r="Z8" s="1"/>
    </row>
    <row r="9" spans="2:26" x14ac:dyDescent="0.35">
      <c r="B9" s="28" t="s">
        <v>162</v>
      </c>
      <c r="I9" s="1" t="s">
        <v>1035</v>
      </c>
      <c r="J9" s="1">
        <v>4</v>
      </c>
      <c r="K9" s="1" t="s">
        <v>398</v>
      </c>
      <c r="L9" s="45">
        <f>K17</f>
        <v>1.6174999999999998E-2</v>
      </c>
      <c r="M9" s="1">
        <v>3</v>
      </c>
      <c r="N9" s="45">
        <f>M17</f>
        <v>1E-4</v>
      </c>
      <c r="O9" s="45">
        <f t="shared" si="0"/>
        <v>1E-3</v>
      </c>
      <c r="P9" s="1">
        <v>3</v>
      </c>
      <c r="Q9" s="45" t="s">
        <v>177</v>
      </c>
      <c r="R9" s="45" t="s">
        <v>196</v>
      </c>
      <c r="T9" s="1" t="s">
        <v>183</v>
      </c>
      <c r="U9" s="1" t="s">
        <v>62</v>
      </c>
      <c r="V9" s="1" t="s">
        <v>397</v>
      </c>
      <c r="W9" s="45">
        <f>POWER(10,-12)</f>
        <v>9.9999999999999998E-13</v>
      </c>
      <c r="X9" s="1">
        <v>1</v>
      </c>
      <c r="Y9" s="45" t="s">
        <v>62</v>
      </c>
      <c r="Z9" s="1"/>
    </row>
    <row r="10" spans="2:26" x14ac:dyDescent="0.35">
      <c r="B10" s="28" t="s">
        <v>62</v>
      </c>
      <c r="C10">
        <v>1.0689799999999999E-6</v>
      </c>
      <c r="D10">
        <v>2.8399999999999996E-4</v>
      </c>
      <c r="I10" s="1" t="s">
        <v>400</v>
      </c>
      <c r="J10" s="1">
        <v>5</v>
      </c>
      <c r="K10" s="1" t="s">
        <v>397</v>
      </c>
      <c r="L10" s="45">
        <f>J18</f>
        <v>5.0000000000000001E-4</v>
      </c>
      <c r="M10" s="1">
        <v>6</v>
      </c>
      <c r="N10" s="45">
        <f>L18</f>
        <v>1E-4</v>
      </c>
      <c r="O10" s="45">
        <f t="shared" si="0"/>
        <v>1E-3</v>
      </c>
      <c r="P10" s="1">
        <v>9</v>
      </c>
      <c r="Q10" s="45" t="s">
        <v>177</v>
      </c>
      <c r="R10" s="45" t="s">
        <v>196</v>
      </c>
      <c r="S10" s="45"/>
      <c r="T10" s="1" t="s">
        <v>183</v>
      </c>
      <c r="U10" s="1" t="s">
        <v>62</v>
      </c>
      <c r="V10" s="1" t="s">
        <v>398</v>
      </c>
      <c r="W10" s="45">
        <f>POWER(10,-15)</f>
        <v>1.0000000000000001E-15</v>
      </c>
      <c r="X10" s="1">
        <v>1</v>
      </c>
      <c r="Y10" s="45" t="s">
        <v>62</v>
      </c>
      <c r="Z10" s="1"/>
    </row>
    <row r="11" spans="2:26" x14ac:dyDescent="0.35">
      <c r="B11" s="28" t="s">
        <v>163</v>
      </c>
      <c r="C11">
        <v>1.6000000000000001E-8</v>
      </c>
      <c r="D11">
        <v>0.2</v>
      </c>
      <c r="E11">
        <v>0</v>
      </c>
      <c r="F11">
        <v>2</v>
      </c>
      <c r="I11" s="1" t="s">
        <v>400</v>
      </c>
      <c r="J11" s="1">
        <v>5</v>
      </c>
      <c r="K11" s="1" t="s">
        <v>398</v>
      </c>
      <c r="L11" s="45">
        <f>K18</f>
        <v>0.2</v>
      </c>
      <c r="M11" s="1">
        <v>6</v>
      </c>
      <c r="N11" s="45">
        <f>M18</f>
        <v>2</v>
      </c>
      <c r="O11" s="45">
        <f>N11/0.1</f>
        <v>20</v>
      </c>
      <c r="P11" s="1">
        <v>9</v>
      </c>
      <c r="Q11" s="45" t="s">
        <v>209</v>
      </c>
      <c r="R11" s="45" t="s">
        <v>56</v>
      </c>
      <c r="T11" s="1" t="s">
        <v>185</v>
      </c>
      <c r="U11" s="1" t="s">
        <v>62</v>
      </c>
      <c r="V11" s="1" t="s">
        <v>397</v>
      </c>
      <c r="W11" s="45">
        <f>POWER(10,-15)</f>
        <v>1.0000000000000001E-15</v>
      </c>
      <c r="X11" s="1">
        <v>1</v>
      </c>
      <c r="Y11" s="45" t="s">
        <v>62</v>
      </c>
      <c r="Z11" s="1"/>
    </row>
    <row r="12" spans="2:26" x14ac:dyDescent="0.35">
      <c r="T12" s="1" t="s">
        <v>185</v>
      </c>
      <c r="U12" s="1" t="s">
        <v>62</v>
      </c>
      <c r="V12" s="1" t="s">
        <v>398</v>
      </c>
      <c r="W12" s="45">
        <f>POWER(10,-18)</f>
        <v>1.0000000000000001E-18</v>
      </c>
      <c r="X12" s="1">
        <v>1</v>
      </c>
      <c r="Y12" s="45" t="s">
        <v>62</v>
      </c>
      <c r="Z12" s="1"/>
    </row>
    <row r="13" spans="2:26" x14ac:dyDescent="0.35">
      <c r="J13" s="1" t="s">
        <v>422</v>
      </c>
      <c r="K13" s="45" t="s">
        <v>442</v>
      </c>
      <c r="L13" s="1" t="s">
        <v>160</v>
      </c>
      <c r="M13" s="1" t="s">
        <v>161</v>
      </c>
      <c r="T13" s="1" t="s">
        <v>193</v>
      </c>
      <c r="U13" s="1" t="s">
        <v>62</v>
      </c>
      <c r="V13" s="1" t="s">
        <v>397</v>
      </c>
      <c r="W13" s="1" t="s">
        <v>62</v>
      </c>
      <c r="X13" s="1"/>
      <c r="Y13" s="45">
        <v>1</v>
      </c>
      <c r="Z13" s="1">
        <v>1</v>
      </c>
    </row>
    <row r="14" spans="2:26" x14ac:dyDescent="0.35">
      <c r="I14" s="1">
        <v>1</v>
      </c>
      <c r="J14" s="45">
        <v>1.6000000000000001E-8</v>
      </c>
      <c r="K14" s="45">
        <v>3.9999999999999998E-7</v>
      </c>
      <c r="L14" s="45">
        <v>2.0000000000000001E-17</v>
      </c>
      <c r="M14" s="45">
        <v>1.0000000000000001E-15</v>
      </c>
      <c r="T14" s="1" t="s">
        <v>193</v>
      </c>
      <c r="U14" s="1" t="s">
        <v>62</v>
      </c>
      <c r="V14" s="1" t="s">
        <v>398</v>
      </c>
      <c r="W14" s="1" t="s">
        <v>62</v>
      </c>
      <c r="X14" s="1"/>
      <c r="Y14" s="45">
        <f>POWER(10,-2)</f>
        <v>0.01</v>
      </c>
      <c r="Z14" s="1">
        <v>1</v>
      </c>
    </row>
    <row r="15" spans="2:26" x14ac:dyDescent="0.35">
      <c r="C15" s="36"/>
      <c r="D15" s="36"/>
      <c r="E15" s="36"/>
      <c r="F15" s="36"/>
      <c r="I15" s="1">
        <v>2</v>
      </c>
      <c r="J15" s="45">
        <v>1.2000000000000002E-7</v>
      </c>
      <c r="K15" s="45">
        <v>9.4999999999999992E-5</v>
      </c>
      <c r="L15" s="45">
        <v>1.4999999999999999E-15</v>
      </c>
      <c r="M15" s="45">
        <v>8.885E-13</v>
      </c>
      <c r="Q15" s="3"/>
      <c r="T15" s="1" t="s">
        <v>196</v>
      </c>
      <c r="U15" s="1" t="s">
        <v>62</v>
      </c>
      <c r="V15" s="1" t="s">
        <v>397</v>
      </c>
      <c r="W15" s="1" t="s">
        <v>62</v>
      </c>
      <c r="X15" s="1"/>
      <c r="Y15" s="45">
        <f>POWER(10,-2)</f>
        <v>0.01</v>
      </c>
      <c r="Z15" s="1">
        <v>1</v>
      </c>
    </row>
    <row r="16" spans="2:26" x14ac:dyDescent="0.35">
      <c r="C16" s="36"/>
      <c r="D16" s="36"/>
      <c r="E16" s="36"/>
      <c r="F16" s="36"/>
      <c r="I16" s="1">
        <v>3</v>
      </c>
      <c r="J16" s="45">
        <v>1.06E-6</v>
      </c>
      <c r="K16" s="45">
        <v>3.31E-3</v>
      </c>
      <c r="L16" s="45">
        <v>8.0000000000000002E-13</v>
      </c>
      <c r="M16" s="45">
        <v>1.8801286659413292E-6</v>
      </c>
      <c r="T16" s="1" t="s">
        <v>196</v>
      </c>
      <c r="U16" s="1" t="s">
        <v>62</v>
      </c>
      <c r="V16" s="1" t="s">
        <v>398</v>
      </c>
      <c r="W16" s="1" t="s">
        <v>62</v>
      </c>
      <c r="X16" s="1"/>
      <c r="Y16" s="45">
        <f>POWER(10,-3)</f>
        <v>1E-3</v>
      </c>
      <c r="Z16" s="1">
        <v>1</v>
      </c>
    </row>
    <row r="17" spans="3:26" x14ac:dyDescent="0.35">
      <c r="C17" s="36"/>
      <c r="D17" s="36"/>
      <c r="E17" s="36"/>
      <c r="F17" s="36"/>
      <c r="I17" s="1">
        <v>4</v>
      </c>
      <c r="J17" s="45">
        <v>6.4999999999999994E-5</v>
      </c>
      <c r="K17" s="45">
        <v>1.6174999999999998E-2</v>
      </c>
      <c r="L17" s="45">
        <v>3.9543161280887781E-9</v>
      </c>
      <c r="M17" s="45">
        <v>1E-4</v>
      </c>
      <c r="N17"/>
      <c r="O17"/>
      <c r="T17" s="1" t="s">
        <v>197</v>
      </c>
      <c r="U17" s="1" t="s">
        <v>62</v>
      </c>
      <c r="V17" s="1" t="s">
        <v>397</v>
      </c>
      <c r="W17" s="1" t="s">
        <v>62</v>
      </c>
      <c r="X17" s="1"/>
      <c r="Y17" s="45">
        <f>POWER(10,-3)</f>
        <v>1E-3</v>
      </c>
      <c r="Z17" s="1">
        <v>1</v>
      </c>
    </row>
    <row r="18" spans="3:26" x14ac:dyDescent="0.35">
      <c r="C18" s="36"/>
      <c r="D18" s="36"/>
      <c r="E18" s="36"/>
      <c r="F18" s="36"/>
      <c r="I18" s="1">
        <v>5</v>
      </c>
      <c r="J18" s="45">
        <v>5.0000000000000001E-4</v>
      </c>
      <c r="K18" s="45">
        <v>0.2</v>
      </c>
      <c r="L18" s="45">
        <v>1E-4</v>
      </c>
      <c r="M18" s="45">
        <v>2</v>
      </c>
      <c r="N18"/>
      <c r="O18"/>
      <c r="T18" s="1" t="s">
        <v>197</v>
      </c>
      <c r="U18" s="1" t="s">
        <v>62</v>
      </c>
      <c r="V18" s="1" t="s">
        <v>398</v>
      </c>
      <c r="W18" s="1" t="s">
        <v>62</v>
      </c>
      <c r="X18" s="1"/>
      <c r="Y18" s="45">
        <f>POWER(10,-6)</f>
        <v>9.9999999999999995E-7</v>
      </c>
      <c r="Z18" s="1">
        <v>1</v>
      </c>
    </row>
    <row r="19" spans="3:26" x14ac:dyDescent="0.35">
      <c r="C19" s="36"/>
      <c r="D19" s="36"/>
      <c r="E19" s="36"/>
      <c r="F19" s="36"/>
      <c r="N19"/>
      <c r="O19"/>
      <c r="T19" s="1" t="s">
        <v>198</v>
      </c>
      <c r="U19" s="1" t="s">
        <v>62</v>
      </c>
      <c r="V19" s="1" t="s">
        <v>397</v>
      </c>
      <c r="W19" s="1" t="s">
        <v>62</v>
      </c>
      <c r="X19" s="1"/>
      <c r="Y19" s="45">
        <f>POWER(10,-6)</f>
        <v>9.9999999999999995E-7</v>
      </c>
      <c r="Z19" s="1">
        <v>1</v>
      </c>
    </row>
    <row r="20" spans="3:26" x14ac:dyDescent="0.35">
      <c r="N20"/>
      <c r="O20"/>
      <c r="T20" s="1" t="s">
        <v>198</v>
      </c>
      <c r="U20" s="1" t="s">
        <v>62</v>
      </c>
      <c r="V20" s="1" t="s">
        <v>398</v>
      </c>
      <c r="W20" s="1" t="s">
        <v>62</v>
      </c>
      <c r="X20" s="1"/>
      <c r="Y20" s="45">
        <f>POWER(10,-9)</f>
        <v>1.0000000000000001E-9</v>
      </c>
      <c r="Z20" s="1">
        <v>1</v>
      </c>
    </row>
    <row r="21" spans="3:26" x14ac:dyDescent="0.35">
      <c r="N21"/>
      <c r="O21"/>
    </row>
    <row r="22" spans="3:26" x14ac:dyDescent="0.35">
      <c r="N22"/>
      <c r="O22"/>
      <c r="P22"/>
    </row>
    <row r="23" spans="3:26" x14ac:dyDescent="0.35">
      <c r="N23"/>
      <c r="O23"/>
      <c r="P23"/>
    </row>
    <row r="24" spans="3:26" x14ac:dyDescent="0.35">
      <c r="N24"/>
      <c r="O24"/>
      <c r="P24"/>
      <c r="S24" s="1" t="s">
        <v>401</v>
      </c>
    </row>
    <row r="25" spans="3:26" x14ac:dyDescent="0.35">
      <c r="N25"/>
      <c r="O25"/>
      <c r="P25"/>
    </row>
    <row r="26" spans="3:26" x14ac:dyDescent="0.35">
      <c r="I26"/>
      <c r="J26"/>
      <c r="K26"/>
    </row>
    <row r="27" spans="3:26" x14ac:dyDescent="0.35">
      <c r="I27"/>
      <c r="J27"/>
      <c r="K27"/>
    </row>
    <row r="28" spans="3:26" x14ac:dyDescent="0.35">
      <c r="I28"/>
      <c r="J28"/>
      <c r="K28"/>
    </row>
    <row r="29" spans="3:26" x14ac:dyDescent="0.35">
      <c r="I29"/>
      <c r="J29"/>
      <c r="K29"/>
    </row>
    <row r="30" spans="3:26" x14ac:dyDescent="0.35">
      <c r="I30"/>
      <c r="J30"/>
      <c r="K30"/>
    </row>
    <row r="31" spans="3:26" x14ac:dyDescent="0.35">
      <c r="I31"/>
      <c r="J31"/>
      <c r="K31"/>
    </row>
    <row r="32" spans="3:26" x14ac:dyDescent="0.35">
      <c r="I32"/>
      <c r="J32"/>
      <c r="K32"/>
    </row>
    <row r="33" spans="9:30" x14ac:dyDescent="0.35">
      <c r="I33"/>
      <c r="J33"/>
      <c r="K33"/>
    </row>
    <row r="34" spans="9:30" x14ac:dyDescent="0.35">
      <c r="I34"/>
      <c r="J34"/>
      <c r="K34"/>
    </row>
    <row r="37" spans="9:30" x14ac:dyDescent="0.35">
      <c r="AD37" t="s">
        <v>3</v>
      </c>
    </row>
    <row r="63" spans="10:11" x14ac:dyDescent="0.35">
      <c r="J63" s="45"/>
      <c r="K63" s="45"/>
    </row>
    <row r="64" spans="10:11" x14ac:dyDescent="0.35">
      <c r="J64" s="45"/>
      <c r="K64" s="45"/>
    </row>
    <row r="65" spans="10:11" x14ac:dyDescent="0.35">
      <c r="J65" s="45"/>
      <c r="K65" s="45"/>
    </row>
    <row r="66" spans="10:11" x14ac:dyDescent="0.35">
      <c r="J66" s="45"/>
      <c r="K66" s="45"/>
    </row>
    <row r="67" spans="10:11" x14ac:dyDescent="0.35">
      <c r="J67" s="45"/>
      <c r="K67" s="45"/>
    </row>
    <row r="68" spans="10:11" x14ac:dyDescent="0.35">
      <c r="J68" s="45"/>
      <c r="K68" s="45"/>
    </row>
    <row r="69" spans="10:11" x14ac:dyDescent="0.35">
      <c r="J69" s="45"/>
      <c r="K69" s="45"/>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97D34-E7A7-4E84-BDAF-DA134560D6FF}">
  <dimension ref="B1:K24"/>
  <sheetViews>
    <sheetView workbookViewId="0"/>
  </sheetViews>
  <sheetFormatPr defaultRowHeight="14.5" x14ac:dyDescent="0.35"/>
  <cols>
    <col min="2" max="2" width="11" style="104" customWidth="1"/>
    <col min="3" max="3" width="12.26953125" style="104" customWidth="1"/>
    <col min="4" max="5" width="11" style="104" customWidth="1"/>
    <col min="6" max="6" width="12.453125" style="104" customWidth="1"/>
    <col min="7" max="7" width="15.6328125" style="104" customWidth="1"/>
    <col min="8" max="9" width="11" style="104" customWidth="1"/>
    <col min="10" max="10" width="8.7265625" style="101"/>
  </cols>
  <sheetData>
    <row r="1" spans="2:11" ht="15" thickBot="1" x14ac:dyDescent="0.4"/>
    <row r="2" spans="2:11" ht="15" x14ac:dyDescent="0.35">
      <c r="B2" s="195" t="s">
        <v>659</v>
      </c>
      <c r="C2" s="197" t="s">
        <v>660</v>
      </c>
      <c r="D2" s="198"/>
      <c r="E2" s="199"/>
      <c r="F2" s="197" t="s">
        <v>661</v>
      </c>
      <c r="G2" s="198"/>
      <c r="H2" s="198"/>
      <c r="I2" s="199"/>
      <c r="J2" s="102"/>
      <c r="K2" s="94"/>
    </row>
    <row r="3" spans="2:11" ht="15.5" thickBot="1" x14ac:dyDescent="0.4">
      <c r="B3" s="196"/>
      <c r="C3" s="200"/>
      <c r="D3" s="201"/>
      <c r="E3" s="202"/>
      <c r="F3" s="200"/>
      <c r="G3" s="201"/>
      <c r="H3" s="201"/>
      <c r="I3" s="202"/>
      <c r="K3" s="94"/>
    </row>
    <row r="4" spans="2:11" ht="26.5" thickBot="1" x14ac:dyDescent="0.4">
      <c r="B4" s="206"/>
      <c r="C4" s="105" t="s">
        <v>292</v>
      </c>
      <c r="D4" s="105" t="s">
        <v>96</v>
      </c>
      <c r="E4" s="105" t="s">
        <v>127</v>
      </c>
      <c r="F4" s="105" t="s">
        <v>292</v>
      </c>
      <c r="G4" s="105" t="s">
        <v>662</v>
      </c>
      <c r="H4" s="105" t="s">
        <v>406</v>
      </c>
      <c r="I4" s="105" t="s">
        <v>127</v>
      </c>
      <c r="J4" s="103"/>
      <c r="K4" s="94"/>
    </row>
    <row r="5" spans="2:11" ht="47" customHeight="1" x14ac:dyDescent="0.35">
      <c r="B5" s="106" t="s">
        <v>663</v>
      </c>
      <c r="C5" s="195">
        <v>1.96</v>
      </c>
      <c r="D5" s="195">
        <v>1.06</v>
      </c>
      <c r="E5" s="195">
        <v>0.79</v>
      </c>
      <c r="F5" s="203" t="s">
        <v>665</v>
      </c>
      <c r="G5" s="203" t="s">
        <v>666</v>
      </c>
      <c r="H5" s="203" t="s">
        <v>667</v>
      </c>
      <c r="I5" s="203" t="s">
        <v>874</v>
      </c>
      <c r="J5" s="103"/>
      <c r="K5" s="94"/>
    </row>
    <row r="6" spans="2:11" ht="15" x14ac:dyDescent="0.35">
      <c r="B6" s="106"/>
      <c r="C6" s="196"/>
      <c r="D6" s="196"/>
      <c r="E6" s="196"/>
      <c r="F6" s="204"/>
      <c r="G6" s="204"/>
      <c r="H6" s="204"/>
      <c r="I6" s="204"/>
      <c r="K6" s="94"/>
    </row>
    <row r="7" spans="2:11" ht="34" customHeight="1" thickBot="1" x14ac:dyDescent="0.4">
      <c r="B7" s="107" t="s">
        <v>664</v>
      </c>
      <c r="C7" s="206"/>
      <c r="D7" s="206"/>
      <c r="E7" s="206"/>
      <c r="F7" s="205"/>
      <c r="G7" s="207"/>
      <c r="H7" s="205"/>
      <c r="I7" s="205"/>
      <c r="K7" s="94"/>
    </row>
    <row r="8" spans="2:11" ht="43" customHeight="1" x14ac:dyDescent="0.35">
      <c r="B8" s="106" t="s">
        <v>668</v>
      </c>
      <c r="C8" s="195">
        <v>0.73</v>
      </c>
      <c r="D8" s="195" t="s">
        <v>669</v>
      </c>
      <c r="E8" s="195" t="s">
        <v>670</v>
      </c>
      <c r="F8" s="203" t="s">
        <v>671</v>
      </c>
      <c r="G8" s="210" t="s">
        <v>875</v>
      </c>
      <c r="H8" s="203" t="s">
        <v>62</v>
      </c>
      <c r="I8" s="203" t="s">
        <v>672</v>
      </c>
      <c r="J8" s="208"/>
      <c r="K8" s="209"/>
    </row>
    <row r="9" spans="2:11" x14ac:dyDescent="0.35">
      <c r="B9" s="106"/>
      <c r="C9" s="196"/>
      <c r="D9" s="196"/>
      <c r="E9" s="196"/>
      <c r="F9" s="204"/>
      <c r="G9" s="204"/>
      <c r="H9" s="204"/>
      <c r="I9" s="204"/>
      <c r="J9" s="208"/>
      <c r="K9" s="209"/>
    </row>
    <row r="10" spans="2:11" ht="36.5" customHeight="1" thickBot="1" x14ac:dyDescent="0.4">
      <c r="B10" s="108" t="s">
        <v>876</v>
      </c>
      <c r="C10" s="206"/>
      <c r="D10" s="206"/>
      <c r="E10" s="206"/>
      <c r="F10" s="205"/>
      <c r="G10" s="205"/>
      <c r="H10" s="205"/>
      <c r="I10" s="205"/>
      <c r="K10" s="94"/>
    </row>
    <row r="11" spans="2:11" ht="42" customHeight="1" x14ac:dyDescent="0.35">
      <c r="B11" s="203" t="s">
        <v>685</v>
      </c>
      <c r="C11" s="203" t="s">
        <v>673</v>
      </c>
      <c r="D11" s="203" t="s">
        <v>674</v>
      </c>
      <c r="E11" s="203" t="s">
        <v>675</v>
      </c>
      <c r="F11" s="203" t="s">
        <v>57</v>
      </c>
      <c r="G11" s="203" t="s">
        <v>676</v>
      </c>
      <c r="H11" s="203" t="s">
        <v>62</v>
      </c>
      <c r="I11" s="203" t="s">
        <v>677</v>
      </c>
      <c r="J11" s="103"/>
      <c r="K11" s="94"/>
    </row>
    <row r="12" spans="2:11" ht="15" x14ac:dyDescent="0.35">
      <c r="B12" s="204"/>
      <c r="C12" s="204"/>
      <c r="D12" s="204"/>
      <c r="E12" s="204"/>
      <c r="F12" s="204"/>
      <c r="G12" s="204"/>
      <c r="H12" s="204"/>
      <c r="I12" s="204"/>
      <c r="K12" s="94"/>
    </row>
    <row r="13" spans="2:11" ht="24.5" customHeight="1" thickBot="1" x14ac:dyDescent="0.4">
      <c r="B13" s="205"/>
      <c r="C13" s="205"/>
      <c r="D13" s="205"/>
      <c r="E13" s="205"/>
      <c r="F13" s="205"/>
      <c r="G13" s="205"/>
      <c r="H13" s="205"/>
      <c r="I13" s="205"/>
      <c r="K13" s="94"/>
    </row>
    <row r="14" spans="2:11" ht="63" thickBot="1" x14ac:dyDescent="0.4">
      <c r="B14" s="109" t="s">
        <v>686</v>
      </c>
      <c r="C14" s="110" t="s">
        <v>678</v>
      </c>
      <c r="D14" s="110" t="s">
        <v>679</v>
      </c>
      <c r="E14" s="110">
        <v>0.21</v>
      </c>
      <c r="F14" s="110" t="s">
        <v>680</v>
      </c>
      <c r="G14" s="110" t="s">
        <v>680</v>
      </c>
      <c r="H14" s="110" t="s">
        <v>62</v>
      </c>
      <c r="I14" s="110" t="s">
        <v>680</v>
      </c>
      <c r="J14" s="103"/>
      <c r="K14" s="94"/>
    </row>
    <row r="15" spans="2:11" ht="40.5" customHeight="1" thickBot="1" x14ac:dyDescent="0.4">
      <c r="B15" s="108" t="s">
        <v>681</v>
      </c>
      <c r="C15" s="110" t="s">
        <v>670</v>
      </c>
      <c r="D15" s="110" t="s">
        <v>682</v>
      </c>
      <c r="E15" s="110" t="s">
        <v>683</v>
      </c>
      <c r="F15" s="110" t="s">
        <v>684</v>
      </c>
      <c r="G15" s="110" t="s">
        <v>672</v>
      </c>
      <c r="H15" s="110" t="s">
        <v>667</v>
      </c>
      <c r="I15" s="110" t="s">
        <v>672</v>
      </c>
      <c r="J15" s="103"/>
      <c r="K15" s="94"/>
    </row>
    <row r="17" spans="2:9" ht="15" thickBot="1" x14ac:dyDescent="0.4"/>
    <row r="18" spans="2:9" x14ac:dyDescent="0.35">
      <c r="B18" s="195" t="s">
        <v>659</v>
      </c>
      <c r="C18" s="197" t="s">
        <v>660</v>
      </c>
      <c r="D18" s="198"/>
      <c r="E18" s="199"/>
      <c r="F18" s="197" t="s">
        <v>661</v>
      </c>
      <c r="G18" s="198"/>
      <c r="H18" s="198"/>
      <c r="I18" s="199"/>
    </row>
    <row r="19" spans="2:9" ht="15" thickBot="1" x14ac:dyDescent="0.4">
      <c r="B19" s="196"/>
      <c r="C19" s="200"/>
      <c r="D19" s="201"/>
      <c r="E19" s="202"/>
      <c r="F19" s="200"/>
      <c r="G19" s="201"/>
      <c r="H19" s="201"/>
      <c r="I19" s="202"/>
    </row>
    <row r="20" spans="2:9" ht="26" x14ac:dyDescent="0.35">
      <c r="B20" s="196"/>
      <c r="C20" s="113" t="s">
        <v>292</v>
      </c>
      <c r="D20" s="113" t="s">
        <v>96</v>
      </c>
      <c r="E20" s="113" t="s">
        <v>127</v>
      </c>
      <c r="F20" s="113" t="s">
        <v>292</v>
      </c>
      <c r="G20" s="113" t="s">
        <v>662</v>
      </c>
      <c r="H20" s="113" t="s">
        <v>406</v>
      </c>
      <c r="I20" s="113" t="s">
        <v>127</v>
      </c>
    </row>
    <row r="21" spans="2:9" ht="62.5" x14ac:dyDescent="0.35">
      <c r="B21" s="112" t="s">
        <v>877</v>
      </c>
      <c r="C21" s="112"/>
      <c r="D21" s="112"/>
      <c r="E21" s="112"/>
      <c r="F21" s="112" t="s">
        <v>413</v>
      </c>
      <c r="G21" s="112" t="s">
        <v>882</v>
      </c>
      <c r="H21" s="112"/>
      <c r="I21" s="112" t="s">
        <v>884</v>
      </c>
    </row>
    <row r="22" spans="2:9" ht="87.5" x14ac:dyDescent="0.35">
      <c r="B22" s="112" t="s">
        <v>879</v>
      </c>
      <c r="C22" s="112"/>
      <c r="D22" s="112"/>
      <c r="E22" s="112"/>
      <c r="F22" s="112" t="s">
        <v>413</v>
      </c>
      <c r="G22" s="112" t="s">
        <v>883</v>
      </c>
      <c r="H22" s="112"/>
      <c r="I22" s="112" t="s">
        <v>885</v>
      </c>
    </row>
    <row r="23" spans="2:9" ht="25" x14ac:dyDescent="0.35">
      <c r="B23" s="112" t="s">
        <v>878</v>
      </c>
      <c r="C23" s="112"/>
      <c r="D23" s="112"/>
      <c r="E23" s="112"/>
      <c r="F23" s="112"/>
      <c r="G23" s="112"/>
      <c r="H23" s="112"/>
      <c r="I23" s="112" t="s">
        <v>871</v>
      </c>
    </row>
    <row r="24" spans="2:9" ht="37.5" x14ac:dyDescent="0.35">
      <c r="B24" s="112" t="s">
        <v>872</v>
      </c>
      <c r="C24" s="112"/>
      <c r="D24" s="112"/>
      <c r="E24" s="112"/>
      <c r="F24" s="112" t="s">
        <v>873</v>
      </c>
      <c r="G24" s="112"/>
      <c r="H24" s="112"/>
      <c r="I24" s="111"/>
    </row>
  </sheetData>
  <mergeCells count="30">
    <mergeCell ref="J8:J9"/>
    <mergeCell ref="K8:K9"/>
    <mergeCell ref="B11:B13"/>
    <mergeCell ref="C11:C13"/>
    <mergeCell ref="D11:D13"/>
    <mergeCell ref="E11:E13"/>
    <mergeCell ref="F11:F13"/>
    <mergeCell ref="G11:G13"/>
    <mergeCell ref="H11:H13"/>
    <mergeCell ref="C8:C10"/>
    <mergeCell ref="D8:D10"/>
    <mergeCell ref="E8:E10"/>
    <mergeCell ref="F8:F10"/>
    <mergeCell ref="G8:G10"/>
    <mergeCell ref="B18:B20"/>
    <mergeCell ref="C18:E19"/>
    <mergeCell ref="F18:I19"/>
    <mergeCell ref="H8:H10"/>
    <mergeCell ref="B2:B4"/>
    <mergeCell ref="C2:E3"/>
    <mergeCell ref="F2:I3"/>
    <mergeCell ref="C5:C7"/>
    <mergeCell ref="D5:D7"/>
    <mergeCell ref="E5:E7"/>
    <mergeCell ref="F5:F7"/>
    <mergeCell ref="G5:G7"/>
    <mergeCell ref="H5:H7"/>
    <mergeCell ref="I5:I7"/>
    <mergeCell ref="I11:I13"/>
    <mergeCell ref="I8:I10"/>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4CFB0-53B4-4F52-8B02-CF0D62103FA0}">
  <dimension ref="A1:F155"/>
  <sheetViews>
    <sheetView workbookViewId="0">
      <selection activeCell="E154" sqref="E154"/>
    </sheetView>
  </sheetViews>
  <sheetFormatPr defaultRowHeight="14.5" x14ac:dyDescent="0.35"/>
  <cols>
    <col min="1" max="1" width="19.90625" style="126" customWidth="1"/>
    <col min="2" max="2" width="7.6328125" style="126" bestFit="1" customWidth="1"/>
    <col min="3" max="3" width="7.6328125" style="126" customWidth="1"/>
    <col min="4" max="4" width="12.6328125" style="126" bestFit="1" customWidth="1"/>
    <col min="5" max="5" width="83.6328125" style="126" customWidth="1"/>
    <col min="6" max="6" width="17" style="126" customWidth="1"/>
  </cols>
  <sheetData>
    <row r="1" spans="1:6" x14ac:dyDescent="0.35">
      <c r="A1" s="125" t="s">
        <v>657</v>
      </c>
      <c r="B1" s="125" t="s">
        <v>169</v>
      </c>
      <c r="C1" s="125" t="s">
        <v>696</v>
      </c>
      <c r="D1" s="125" t="s">
        <v>647</v>
      </c>
      <c r="E1" s="125" t="s">
        <v>581</v>
      </c>
      <c r="F1" s="125" t="s">
        <v>582</v>
      </c>
    </row>
    <row r="2" spans="1:6" x14ac:dyDescent="0.35">
      <c r="A2" s="126" t="s">
        <v>658</v>
      </c>
      <c r="B2" s="126">
        <v>1</v>
      </c>
      <c r="C2" s="126" t="s">
        <v>62</v>
      </c>
      <c r="D2" s="126" t="s">
        <v>591</v>
      </c>
      <c r="E2" s="126" t="s">
        <v>456</v>
      </c>
      <c r="F2" s="126" t="s">
        <v>584</v>
      </c>
    </row>
    <row r="3" spans="1:6" x14ac:dyDescent="0.35">
      <c r="A3" s="126" t="s">
        <v>658</v>
      </c>
      <c r="B3" s="126">
        <v>2</v>
      </c>
      <c r="C3" s="126" t="s">
        <v>62</v>
      </c>
      <c r="D3" s="126" t="s">
        <v>591</v>
      </c>
      <c r="E3" s="126" t="s">
        <v>1036</v>
      </c>
      <c r="F3" s="126" t="s">
        <v>62</v>
      </c>
    </row>
    <row r="4" spans="1:6" x14ac:dyDescent="0.35">
      <c r="A4" s="126" t="s">
        <v>658</v>
      </c>
      <c r="B4" s="126">
        <v>3</v>
      </c>
      <c r="C4" s="126" t="s">
        <v>62</v>
      </c>
      <c r="D4" s="126" t="s">
        <v>591</v>
      </c>
      <c r="E4" s="126" t="s">
        <v>592</v>
      </c>
      <c r="F4" s="126" t="s">
        <v>584</v>
      </c>
    </row>
    <row r="5" spans="1:6" x14ac:dyDescent="0.35">
      <c r="A5" s="126" t="s">
        <v>658</v>
      </c>
      <c r="B5" s="126">
        <v>4</v>
      </c>
      <c r="C5" s="126">
        <v>1</v>
      </c>
      <c r="D5" s="126" t="s">
        <v>583</v>
      </c>
      <c r="E5" s="126" t="s">
        <v>742</v>
      </c>
      <c r="F5" s="126" t="s">
        <v>743</v>
      </c>
    </row>
    <row r="6" spans="1:6" x14ac:dyDescent="0.35">
      <c r="A6" s="126" t="s">
        <v>658</v>
      </c>
      <c r="B6" s="126">
        <v>5</v>
      </c>
      <c r="C6" s="126">
        <v>2</v>
      </c>
      <c r="D6" s="126" t="s">
        <v>583</v>
      </c>
      <c r="E6" s="126" t="s">
        <v>760</v>
      </c>
      <c r="F6" s="126" t="s">
        <v>761</v>
      </c>
    </row>
    <row r="7" spans="1:6" x14ac:dyDescent="0.35">
      <c r="A7" s="126" t="s">
        <v>658</v>
      </c>
      <c r="B7" s="126">
        <v>6</v>
      </c>
      <c r="C7" s="126">
        <v>3</v>
      </c>
      <c r="D7" s="126" t="s">
        <v>583</v>
      </c>
      <c r="E7" s="126" t="s">
        <v>593</v>
      </c>
      <c r="F7" s="126" t="s">
        <v>594</v>
      </c>
    </row>
    <row r="8" spans="1:6" x14ac:dyDescent="0.35">
      <c r="A8" s="126" t="s">
        <v>658</v>
      </c>
      <c r="B8" s="126">
        <v>7</v>
      </c>
      <c r="C8" s="126">
        <v>4</v>
      </c>
      <c r="D8" s="126" t="s">
        <v>583</v>
      </c>
      <c r="E8" s="126" t="s">
        <v>595</v>
      </c>
      <c r="F8" s="126" t="s">
        <v>62</v>
      </c>
    </row>
    <row r="9" spans="1:6" x14ac:dyDescent="0.35">
      <c r="A9" s="126" t="s">
        <v>658</v>
      </c>
      <c r="B9" s="126">
        <v>8</v>
      </c>
      <c r="C9" s="126">
        <v>5</v>
      </c>
      <c r="D9" s="126" t="s">
        <v>583</v>
      </c>
      <c r="E9" s="126" t="s">
        <v>893</v>
      </c>
      <c r="F9" s="126" t="s">
        <v>62</v>
      </c>
    </row>
    <row r="10" spans="1:6" x14ac:dyDescent="0.35">
      <c r="A10" s="126" t="s">
        <v>658</v>
      </c>
      <c r="B10" s="126">
        <v>9</v>
      </c>
      <c r="C10" s="126">
        <v>6</v>
      </c>
      <c r="D10" s="126" t="s">
        <v>583</v>
      </c>
      <c r="E10" s="126" t="s">
        <v>596</v>
      </c>
      <c r="F10" s="126" t="s">
        <v>597</v>
      </c>
    </row>
    <row r="11" spans="1:6" x14ac:dyDescent="0.35">
      <c r="A11" s="126" t="s">
        <v>658</v>
      </c>
      <c r="B11" s="126">
        <v>10</v>
      </c>
      <c r="C11" s="126">
        <v>7</v>
      </c>
      <c r="D11" s="126" t="s">
        <v>583</v>
      </c>
      <c r="E11" s="126" t="s">
        <v>598</v>
      </c>
      <c r="F11" s="126" t="s">
        <v>599</v>
      </c>
    </row>
    <row r="12" spans="1:6" x14ac:dyDescent="0.35">
      <c r="A12" s="126" t="s">
        <v>658</v>
      </c>
      <c r="B12" s="126">
        <v>11</v>
      </c>
      <c r="C12" s="126">
        <v>8</v>
      </c>
      <c r="D12" s="126" t="s">
        <v>583</v>
      </c>
      <c r="E12" s="126" t="s">
        <v>600</v>
      </c>
      <c r="F12" s="126" t="s">
        <v>62</v>
      </c>
    </row>
    <row r="13" spans="1:6" x14ac:dyDescent="0.35">
      <c r="A13" s="126" t="s">
        <v>658</v>
      </c>
      <c r="B13" s="126">
        <v>12</v>
      </c>
      <c r="C13" s="126">
        <v>9</v>
      </c>
      <c r="D13" s="126" t="s">
        <v>583</v>
      </c>
      <c r="E13" s="126" t="s">
        <v>601</v>
      </c>
      <c r="F13" s="126" t="s">
        <v>62</v>
      </c>
    </row>
    <row r="14" spans="1:6" x14ac:dyDescent="0.35">
      <c r="A14" s="126" t="s">
        <v>658</v>
      </c>
      <c r="B14" s="126">
        <v>13</v>
      </c>
      <c r="C14" s="126">
        <v>10</v>
      </c>
      <c r="D14" s="126" t="s">
        <v>583</v>
      </c>
      <c r="E14" s="126" t="s">
        <v>894</v>
      </c>
      <c r="F14" s="126" t="s">
        <v>62</v>
      </c>
    </row>
    <row r="15" spans="1:6" x14ac:dyDescent="0.35">
      <c r="A15" s="126" t="s">
        <v>658</v>
      </c>
      <c r="B15" s="126">
        <v>14</v>
      </c>
      <c r="C15" s="126">
        <v>11</v>
      </c>
      <c r="D15" s="126" t="s">
        <v>583</v>
      </c>
      <c r="E15" s="126" t="s">
        <v>602</v>
      </c>
      <c r="F15" s="126" t="s">
        <v>62</v>
      </c>
    </row>
    <row r="16" spans="1:6" x14ac:dyDescent="0.35">
      <c r="A16" s="126" t="s">
        <v>658</v>
      </c>
      <c r="B16" s="126">
        <v>15</v>
      </c>
      <c r="C16" s="126">
        <v>12</v>
      </c>
      <c r="D16" s="126" t="s">
        <v>583</v>
      </c>
      <c r="E16" s="126" t="s">
        <v>712</v>
      </c>
      <c r="F16" s="126" t="s">
        <v>62</v>
      </c>
    </row>
    <row r="17" spans="1:6" x14ac:dyDescent="0.35">
      <c r="A17" s="126" t="s">
        <v>658</v>
      </c>
      <c r="B17" s="126">
        <v>16</v>
      </c>
      <c r="C17" s="126">
        <v>13</v>
      </c>
      <c r="D17" s="126" t="s">
        <v>583</v>
      </c>
      <c r="E17" s="129" t="s">
        <v>1018</v>
      </c>
      <c r="F17" s="126" t="s">
        <v>62</v>
      </c>
    </row>
    <row r="18" spans="1:6" x14ac:dyDescent="0.35">
      <c r="A18" s="126" t="s">
        <v>658</v>
      </c>
      <c r="B18" s="126">
        <v>17</v>
      </c>
      <c r="C18" s="126">
        <v>14</v>
      </c>
      <c r="D18" s="126" t="s">
        <v>583</v>
      </c>
      <c r="E18" s="126" t="s">
        <v>603</v>
      </c>
      <c r="F18" s="126" t="s">
        <v>604</v>
      </c>
    </row>
    <row r="19" spans="1:6" x14ac:dyDescent="0.35">
      <c r="A19" s="126" t="s">
        <v>658</v>
      </c>
      <c r="B19" s="126">
        <v>18</v>
      </c>
      <c r="C19" s="126">
        <v>15</v>
      </c>
      <c r="D19" s="126" t="s">
        <v>583</v>
      </c>
      <c r="E19" s="126" t="s">
        <v>605</v>
      </c>
      <c r="F19" s="126" t="s">
        <v>62</v>
      </c>
    </row>
    <row r="20" spans="1:6" x14ac:dyDescent="0.35">
      <c r="A20" s="126" t="s">
        <v>658</v>
      </c>
      <c r="B20" s="126">
        <v>19</v>
      </c>
      <c r="C20" s="126">
        <v>16</v>
      </c>
      <c r="D20" s="126" t="s">
        <v>583</v>
      </c>
      <c r="E20" s="126" t="s">
        <v>606</v>
      </c>
      <c r="F20" s="126" t="s">
        <v>62</v>
      </c>
    </row>
    <row r="21" spans="1:6" x14ac:dyDescent="0.35">
      <c r="A21" s="126" t="s">
        <v>658</v>
      </c>
      <c r="B21" s="126">
        <v>20</v>
      </c>
      <c r="C21" s="126">
        <v>17</v>
      </c>
      <c r="D21" s="126" t="s">
        <v>583</v>
      </c>
      <c r="E21" s="126" t="s">
        <v>607</v>
      </c>
      <c r="F21" s="126" t="s">
        <v>62</v>
      </c>
    </row>
    <row r="22" spans="1:6" x14ac:dyDescent="0.35">
      <c r="A22" s="126" t="s">
        <v>658</v>
      </c>
      <c r="B22" s="126">
        <v>21</v>
      </c>
      <c r="C22" s="126">
        <v>18</v>
      </c>
      <c r="D22" s="126" t="s">
        <v>583</v>
      </c>
      <c r="E22" s="126" t="s">
        <v>608</v>
      </c>
      <c r="F22" s="126" t="s">
        <v>609</v>
      </c>
    </row>
    <row r="23" spans="1:6" x14ac:dyDescent="0.35">
      <c r="A23" s="126" t="s">
        <v>658</v>
      </c>
      <c r="B23" s="126">
        <v>22</v>
      </c>
      <c r="C23" s="126">
        <v>19</v>
      </c>
      <c r="D23" s="126" t="s">
        <v>583</v>
      </c>
      <c r="E23" s="126" t="s">
        <v>610</v>
      </c>
      <c r="F23" s="126" t="s">
        <v>611</v>
      </c>
    </row>
    <row r="24" spans="1:6" x14ac:dyDescent="0.35">
      <c r="A24" s="126" t="s">
        <v>658</v>
      </c>
      <c r="B24" s="126">
        <v>23</v>
      </c>
      <c r="C24" s="126">
        <v>20</v>
      </c>
      <c r="D24" s="126" t="s">
        <v>583</v>
      </c>
      <c r="E24" s="126" t="s">
        <v>612</v>
      </c>
      <c r="F24" s="126" t="s">
        <v>613</v>
      </c>
    </row>
    <row r="25" spans="1:6" x14ac:dyDescent="0.35">
      <c r="A25" s="126" t="s">
        <v>658</v>
      </c>
      <c r="B25" s="126">
        <v>24</v>
      </c>
      <c r="C25" s="126">
        <v>21</v>
      </c>
      <c r="D25" s="126" t="s">
        <v>583</v>
      </c>
      <c r="E25" s="126" t="s">
        <v>614</v>
      </c>
      <c r="F25" s="126" t="s">
        <v>615</v>
      </c>
    </row>
    <row r="26" spans="1:6" x14ac:dyDescent="0.35">
      <c r="A26" s="126" t="s">
        <v>658</v>
      </c>
      <c r="B26" s="126">
        <v>25</v>
      </c>
      <c r="C26" s="126">
        <v>22</v>
      </c>
      <c r="D26" s="126" t="s">
        <v>583</v>
      </c>
      <c r="E26" s="126" t="s">
        <v>616</v>
      </c>
      <c r="F26" s="126" t="s">
        <v>617</v>
      </c>
    </row>
    <row r="27" spans="1:6" x14ac:dyDescent="0.35">
      <c r="A27" s="126" t="s">
        <v>658</v>
      </c>
      <c r="B27" s="126">
        <v>26</v>
      </c>
      <c r="C27" s="126">
        <v>23</v>
      </c>
      <c r="D27" s="126" t="s">
        <v>583</v>
      </c>
      <c r="E27" s="126" t="s">
        <v>618</v>
      </c>
      <c r="F27" s="126" t="s">
        <v>619</v>
      </c>
    </row>
    <row r="28" spans="1:6" x14ac:dyDescent="0.35">
      <c r="A28" s="126" t="s">
        <v>658</v>
      </c>
      <c r="B28" s="126">
        <v>27</v>
      </c>
      <c r="C28" s="126">
        <v>24</v>
      </c>
      <c r="D28" s="126" t="s">
        <v>583</v>
      </c>
      <c r="E28" s="126" t="s">
        <v>837</v>
      </c>
      <c r="F28" s="126" t="s">
        <v>838</v>
      </c>
    </row>
    <row r="29" spans="1:6" x14ac:dyDescent="0.35">
      <c r="A29" s="126" t="s">
        <v>658</v>
      </c>
      <c r="B29" s="126">
        <v>28</v>
      </c>
      <c r="C29" s="126">
        <v>25</v>
      </c>
      <c r="D29" s="126" t="s">
        <v>583</v>
      </c>
      <c r="E29" s="126" t="s">
        <v>620</v>
      </c>
      <c r="F29" s="126" t="s">
        <v>62</v>
      </c>
    </row>
    <row r="30" spans="1:6" x14ac:dyDescent="0.35">
      <c r="A30" s="126" t="s">
        <v>658</v>
      </c>
      <c r="B30" s="126">
        <v>29</v>
      </c>
      <c r="C30" s="126">
        <v>26</v>
      </c>
      <c r="D30" s="126" t="s">
        <v>583</v>
      </c>
      <c r="E30" s="126" t="s">
        <v>830</v>
      </c>
      <c r="F30" s="126" t="s">
        <v>62</v>
      </c>
    </row>
    <row r="31" spans="1:6" x14ac:dyDescent="0.35">
      <c r="A31" s="126" t="s">
        <v>658</v>
      </c>
      <c r="B31" s="126">
        <v>30</v>
      </c>
      <c r="C31" s="126">
        <v>27</v>
      </c>
      <c r="D31" s="126" t="s">
        <v>583</v>
      </c>
      <c r="E31" s="126" t="s">
        <v>828</v>
      </c>
      <c r="F31" s="126" t="s">
        <v>829</v>
      </c>
    </row>
    <row r="32" spans="1:6" x14ac:dyDescent="0.35">
      <c r="A32" s="126" t="s">
        <v>658</v>
      </c>
      <c r="B32" s="126">
        <v>31</v>
      </c>
      <c r="C32" s="126">
        <v>28</v>
      </c>
      <c r="D32" s="126" t="s">
        <v>583</v>
      </c>
      <c r="E32" s="126" t="s">
        <v>621</v>
      </c>
      <c r="F32" s="126" t="s">
        <v>62</v>
      </c>
    </row>
    <row r="33" spans="1:6" x14ac:dyDescent="0.35">
      <c r="A33" s="126" t="s">
        <v>658</v>
      </c>
      <c r="B33" s="126">
        <v>32</v>
      </c>
      <c r="C33" s="126">
        <v>29</v>
      </c>
      <c r="D33" s="126" t="s">
        <v>583</v>
      </c>
      <c r="E33" s="126" t="s">
        <v>622</v>
      </c>
      <c r="F33" s="126" t="s">
        <v>656</v>
      </c>
    </row>
    <row r="34" spans="1:6" x14ac:dyDescent="0.35">
      <c r="A34" s="126" t="s">
        <v>658</v>
      </c>
      <c r="B34" s="126">
        <v>33</v>
      </c>
      <c r="C34" s="126">
        <v>30</v>
      </c>
      <c r="D34" s="126" t="s">
        <v>583</v>
      </c>
      <c r="E34" s="126" t="s">
        <v>623</v>
      </c>
      <c r="F34" s="126" t="s">
        <v>624</v>
      </c>
    </row>
    <row r="35" spans="1:6" x14ac:dyDescent="0.35">
      <c r="A35" s="126" t="s">
        <v>658</v>
      </c>
      <c r="B35" s="126">
        <v>34</v>
      </c>
      <c r="C35" s="126">
        <v>31</v>
      </c>
      <c r="D35" s="126" t="s">
        <v>583</v>
      </c>
      <c r="E35" s="126" t="s">
        <v>625</v>
      </c>
      <c r="F35" s="126" t="s">
        <v>626</v>
      </c>
    </row>
    <row r="36" spans="1:6" x14ac:dyDescent="0.35">
      <c r="A36" s="126" t="s">
        <v>658</v>
      </c>
      <c r="B36" s="126">
        <v>35</v>
      </c>
      <c r="C36" s="126">
        <v>32</v>
      </c>
      <c r="D36" s="126" t="s">
        <v>583</v>
      </c>
      <c r="E36" s="126" t="s">
        <v>627</v>
      </c>
      <c r="F36" s="126" t="s">
        <v>62</v>
      </c>
    </row>
    <row r="37" spans="1:6" x14ac:dyDescent="0.35">
      <c r="A37" s="126" t="s">
        <v>658</v>
      </c>
      <c r="B37" s="126">
        <v>36</v>
      </c>
      <c r="C37" s="126">
        <v>33</v>
      </c>
      <c r="D37" s="126" t="s">
        <v>583</v>
      </c>
      <c r="E37" s="126" t="s">
        <v>628</v>
      </c>
      <c r="F37" s="126" t="s">
        <v>629</v>
      </c>
    </row>
    <row r="38" spans="1:6" x14ac:dyDescent="0.35">
      <c r="A38" s="126" t="s">
        <v>658</v>
      </c>
      <c r="B38" s="126">
        <v>37</v>
      </c>
      <c r="C38" s="126">
        <v>34</v>
      </c>
      <c r="D38" s="126" t="s">
        <v>583</v>
      </c>
      <c r="E38" s="126" t="s">
        <v>630</v>
      </c>
      <c r="F38" s="126" t="s">
        <v>62</v>
      </c>
    </row>
    <row r="39" spans="1:6" x14ac:dyDescent="0.35">
      <c r="A39" s="126" t="s">
        <v>658</v>
      </c>
      <c r="B39" s="126">
        <v>38</v>
      </c>
      <c r="C39" s="126">
        <v>35</v>
      </c>
      <c r="D39" s="126" t="s">
        <v>583</v>
      </c>
      <c r="E39" s="126" t="s">
        <v>631</v>
      </c>
      <c r="F39" s="126" t="s">
        <v>632</v>
      </c>
    </row>
    <row r="40" spans="1:6" x14ac:dyDescent="0.35">
      <c r="A40" s="126" t="s">
        <v>658</v>
      </c>
      <c r="B40" s="126">
        <v>39</v>
      </c>
      <c r="C40" s="126">
        <v>36</v>
      </c>
      <c r="D40" s="126" t="s">
        <v>583</v>
      </c>
      <c r="E40" s="126" t="s">
        <v>633</v>
      </c>
      <c r="F40" s="126" t="s">
        <v>634</v>
      </c>
    </row>
    <row r="41" spans="1:6" x14ac:dyDescent="0.35">
      <c r="A41" s="126" t="s">
        <v>658</v>
      </c>
      <c r="B41" s="126">
        <v>40</v>
      </c>
      <c r="C41" s="126">
        <v>37</v>
      </c>
      <c r="D41" s="126" t="s">
        <v>583</v>
      </c>
      <c r="E41" s="126" t="s">
        <v>635</v>
      </c>
      <c r="F41" s="126" t="s">
        <v>62</v>
      </c>
    </row>
    <row r="42" spans="1:6" x14ac:dyDescent="0.35">
      <c r="A42" s="126" t="s">
        <v>658</v>
      </c>
      <c r="B42" s="126">
        <v>41</v>
      </c>
      <c r="C42" s="126">
        <v>38</v>
      </c>
      <c r="D42" s="126" t="s">
        <v>583</v>
      </c>
      <c r="E42" s="126" t="s">
        <v>636</v>
      </c>
      <c r="F42" s="126" t="s">
        <v>62</v>
      </c>
    </row>
    <row r="43" spans="1:6" x14ac:dyDescent="0.35">
      <c r="A43" s="126" t="s">
        <v>658</v>
      </c>
      <c r="B43" s="126">
        <v>42</v>
      </c>
      <c r="C43" s="126">
        <v>39</v>
      </c>
      <c r="D43" s="126" t="s">
        <v>583</v>
      </c>
      <c r="E43" s="126" t="s">
        <v>833</v>
      </c>
      <c r="F43" s="126" t="s">
        <v>835</v>
      </c>
    </row>
    <row r="44" spans="1:6" x14ac:dyDescent="0.35">
      <c r="A44" s="126" t="s">
        <v>658</v>
      </c>
      <c r="B44" s="126">
        <v>43</v>
      </c>
      <c r="C44" s="126">
        <v>40</v>
      </c>
      <c r="D44" s="126" t="s">
        <v>583</v>
      </c>
      <c r="E44" s="126" t="s">
        <v>637</v>
      </c>
      <c r="F44" s="126" t="s">
        <v>62</v>
      </c>
    </row>
    <row r="45" spans="1:6" x14ac:dyDescent="0.35">
      <c r="A45" s="126" t="s">
        <v>658</v>
      </c>
      <c r="B45" s="126">
        <v>44</v>
      </c>
      <c r="C45" s="126">
        <v>41</v>
      </c>
      <c r="D45" s="126" t="s">
        <v>583</v>
      </c>
      <c r="E45" s="126" t="s">
        <v>638</v>
      </c>
      <c r="F45" s="126" t="s">
        <v>62</v>
      </c>
    </row>
    <row r="46" spans="1:6" x14ac:dyDescent="0.35">
      <c r="A46" s="126" t="s">
        <v>658</v>
      </c>
      <c r="B46" s="126">
        <v>45</v>
      </c>
      <c r="C46" s="126">
        <v>42</v>
      </c>
      <c r="D46" s="126" t="s">
        <v>583</v>
      </c>
      <c r="E46" s="126" t="s">
        <v>897</v>
      </c>
      <c r="F46" s="126" t="s">
        <v>62</v>
      </c>
    </row>
    <row r="47" spans="1:6" x14ac:dyDescent="0.35">
      <c r="A47" s="126" t="s">
        <v>658</v>
      </c>
      <c r="B47" s="126">
        <v>46</v>
      </c>
      <c r="C47" s="126">
        <v>43</v>
      </c>
      <c r="D47" s="126" t="s">
        <v>583</v>
      </c>
      <c r="E47" s="126" t="s">
        <v>639</v>
      </c>
      <c r="F47" s="126" t="s">
        <v>62</v>
      </c>
    </row>
    <row r="48" spans="1:6" x14ac:dyDescent="0.35">
      <c r="A48" s="126" t="s">
        <v>658</v>
      </c>
      <c r="B48" s="126">
        <v>47</v>
      </c>
      <c r="C48" s="126">
        <v>44</v>
      </c>
      <c r="D48" s="126" t="s">
        <v>583</v>
      </c>
      <c r="E48" s="126" t="s">
        <v>898</v>
      </c>
      <c r="F48" s="126" t="s">
        <v>62</v>
      </c>
    </row>
    <row r="49" spans="1:6" x14ac:dyDescent="0.35">
      <c r="A49" s="126" t="s">
        <v>658</v>
      </c>
      <c r="B49" s="126">
        <v>48</v>
      </c>
      <c r="C49" s="126">
        <v>45</v>
      </c>
      <c r="D49" s="126" t="s">
        <v>583</v>
      </c>
      <c r="E49" s="126" t="s">
        <v>640</v>
      </c>
      <c r="F49" s="126" t="s">
        <v>641</v>
      </c>
    </row>
    <row r="50" spans="1:6" x14ac:dyDescent="0.35">
      <c r="A50" s="126" t="s">
        <v>658</v>
      </c>
      <c r="B50" s="126">
        <v>49</v>
      </c>
      <c r="C50" s="126">
        <v>46</v>
      </c>
      <c r="D50" s="126" t="s">
        <v>583</v>
      </c>
      <c r="E50" s="126" t="s">
        <v>642</v>
      </c>
      <c r="F50" s="126" t="s">
        <v>643</v>
      </c>
    </row>
    <row r="51" spans="1:6" x14ac:dyDescent="0.35">
      <c r="A51" s="126" t="s">
        <v>658</v>
      </c>
      <c r="B51" s="126">
        <v>50</v>
      </c>
      <c r="C51" s="126">
        <v>47</v>
      </c>
      <c r="D51" s="126" t="s">
        <v>583</v>
      </c>
      <c r="E51" s="126" t="s">
        <v>864</v>
      </c>
      <c r="F51" s="126" t="s">
        <v>62</v>
      </c>
    </row>
    <row r="52" spans="1:6" x14ac:dyDescent="0.35">
      <c r="A52" s="126" t="s">
        <v>658</v>
      </c>
      <c r="B52" s="126">
        <v>49</v>
      </c>
      <c r="C52" s="126" t="s">
        <v>62</v>
      </c>
      <c r="D52" s="126" t="s">
        <v>590</v>
      </c>
      <c r="E52" s="126" t="s">
        <v>687</v>
      </c>
      <c r="F52" s="126" t="s">
        <v>62</v>
      </c>
    </row>
    <row r="53" spans="1:6" x14ac:dyDescent="0.35">
      <c r="A53" s="126" t="s">
        <v>658</v>
      </c>
      <c r="B53" s="126">
        <v>50</v>
      </c>
      <c r="C53" s="126" t="s">
        <v>62</v>
      </c>
      <c r="D53" s="126" t="s">
        <v>590</v>
      </c>
      <c r="E53" s="126" t="s">
        <v>895</v>
      </c>
      <c r="F53" s="126" t="s">
        <v>62</v>
      </c>
    </row>
    <row r="54" spans="1:6" x14ac:dyDescent="0.35">
      <c r="A54" s="126" t="s">
        <v>658</v>
      </c>
      <c r="B54" s="126">
        <v>51</v>
      </c>
      <c r="C54" s="126" t="s">
        <v>62</v>
      </c>
      <c r="D54" s="126" t="s">
        <v>590</v>
      </c>
      <c r="E54" s="126" t="s">
        <v>461</v>
      </c>
      <c r="F54" s="126" t="s">
        <v>62</v>
      </c>
    </row>
    <row r="55" spans="1:6" x14ac:dyDescent="0.35">
      <c r="A55" s="126" t="s">
        <v>658</v>
      </c>
      <c r="B55" s="126">
        <v>52</v>
      </c>
      <c r="C55" s="126" t="s">
        <v>62</v>
      </c>
      <c r="D55" s="126" t="s">
        <v>590</v>
      </c>
      <c r="E55" s="126" t="s">
        <v>462</v>
      </c>
      <c r="F55" s="126" t="s">
        <v>62</v>
      </c>
    </row>
    <row r="56" spans="1:6" x14ac:dyDescent="0.35">
      <c r="A56" s="126" t="s">
        <v>658</v>
      </c>
      <c r="B56" s="126">
        <v>53</v>
      </c>
      <c r="C56" s="126" t="s">
        <v>62</v>
      </c>
      <c r="D56" s="126" t="s">
        <v>590</v>
      </c>
      <c r="E56" s="126" t="s">
        <v>880</v>
      </c>
      <c r="F56" s="126" t="s">
        <v>62</v>
      </c>
    </row>
    <row r="57" spans="1:6" x14ac:dyDescent="0.35">
      <c r="A57" s="126" t="s">
        <v>658</v>
      </c>
      <c r="B57" s="126">
        <v>54</v>
      </c>
      <c r="C57" s="126" t="s">
        <v>62</v>
      </c>
      <c r="D57" s="126" t="s">
        <v>590</v>
      </c>
      <c r="E57" s="127" t="s">
        <v>896</v>
      </c>
      <c r="F57" s="126" t="s">
        <v>62</v>
      </c>
    </row>
    <row r="58" spans="1:6" x14ac:dyDescent="0.35">
      <c r="A58" s="126" t="s">
        <v>658</v>
      </c>
      <c r="B58" s="126">
        <v>56</v>
      </c>
      <c r="C58" s="126" t="s">
        <v>62</v>
      </c>
      <c r="D58" s="126" t="s">
        <v>590</v>
      </c>
      <c r="E58" s="126" t="s">
        <v>881</v>
      </c>
      <c r="F58" s="126" t="s">
        <v>62</v>
      </c>
    </row>
    <row r="59" spans="1:6" x14ac:dyDescent="0.35">
      <c r="A59" s="126" t="s">
        <v>646</v>
      </c>
      <c r="B59" s="126">
        <v>1</v>
      </c>
      <c r="C59" s="126">
        <v>1</v>
      </c>
      <c r="D59" s="126" t="s">
        <v>591</v>
      </c>
      <c r="E59" s="126" t="s">
        <v>451</v>
      </c>
      <c r="F59" s="126" t="s">
        <v>62</v>
      </c>
    </row>
    <row r="60" spans="1:6" x14ac:dyDescent="0.35">
      <c r="A60" s="126" t="s">
        <v>646</v>
      </c>
      <c r="B60" s="126">
        <v>2</v>
      </c>
      <c r="C60" s="126">
        <v>2</v>
      </c>
      <c r="D60" s="126" t="s">
        <v>591</v>
      </c>
      <c r="E60" s="126" t="s">
        <v>466</v>
      </c>
      <c r="F60" s="126" t="s">
        <v>62</v>
      </c>
    </row>
    <row r="61" spans="1:6" x14ac:dyDescent="0.35">
      <c r="A61" s="126" t="s">
        <v>646</v>
      </c>
      <c r="B61" s="126">
        <v>3</v>
      </c>
      <c r="C61" s="126">
        <v>3</v>
      </c>
      <c r="D61" s="126" t="s">
        <v>583</v>
      </c>
      <c r="E61" s="126" t="s">
        <v>587</v>
      </c>
      <c r="F61" s="126" t="s">
        <v>588</v>
      </c>
    </row>
    <row r="62" spans="1:6" x14ac:dyDescent="0.35">
      <c r="A62" s="126" t="s">
        <v>646</v>
      </c>
      <c r="B62" s="126">
        <v>4</v>
      </c>
      <c r="C62" s="126">
        <v>4</v>
      </c>
      <c r="D62" s="126" t="s">
        <v>583</v>
      </c>
      <c r="E62" s="126" t="s">
        <v>448</v>
      </c>
      <c r="F62" s="126" t="s">
        <v>589</v>
      </c>
    </row>
    <row r="63" spans="1:6" x14ac:dyDescent="0.35">
      <c r="A63" s="126" t="s">
        <v>646</v>
      </c>
      <c r="B63" s="126">
        <v>5</v>
      </c>
      <c r="C63" s="126">
        <v>5</v>
      </c>
      <c r="D63" s="126" t="s">
        <v>583</v>
      </c>
      <c r="E63" s="126" t="s">
        <v>742</v>
      </c>
      <c r="F63" s="126" t="s">
        <v>744</v>
      </c>
    </row>
    <row r="64" spans="1:6" x14ac:dyDescent="0.35">
      <c r="A64" s="126" t="s">
        <v>646</v>
      </c>
      <c r="B64" s="126">
        <v>6</v>
      </c>
      <c r="C64" s="126">
        <v>6</v>
      </c>
      <c r="D64" s="126" t="s">
        <v>583</v>
      </c>
      <c r="E64" s="126" t="s">
        <v>757</v>
      </c>
      <c r="F64" s="126" t="s">
        <v>758</v>
      </c>
    </row>
    <row r="65" spans="1:6" x14ac:dyDescent="0.35">
      <c r="A65" s="126" t="s">
        <v>646</v>
      </c>
      <c r="B65" s="126">
        <v>7</v>
      </c>
      <c r="C65" s="126">
        <v>7</v>
      </c>
      <c r="D65" s="126" t="s">
        <v>583</v>
      </c>
      <c r="E65" s="126" t="s">
        <v>450</v>
      </c>
      <c r="F65" s="126" t="s">
        <v>62</v>
      </c>
    </row>
    <row r="66" spans="1:6" x14ac:dyDescent="0.35">
      <c r="A66" s="126" t="s">
        <v>646</v>
      </c>
      <c r="B66" s="126">
        <v>8</v>
      </c>
      <c r="C66" s="126">
        <v>8</v>
      </c>
      <c r="D66" s="126" t="s">
        <v>583</v>
      </c>
      <c r="E66" s="126" t="s">
        <v>846</v>
      </c>
      <c r="F66" s="126" t="s">
        <v>850</v>
      </c>
    </row>
    <row r="67" spans="1:6" x14ac:dyDescent="0.35">
      <c r="A67" s="126" t="s">
        <v>646</v>
      </c>
      <c r="B67" s="126">
        <v>9</v>
      </c>
      <c r="C67" s="126">
        <v>9</v>
      </c>
      <c r="D67" s="126" t="s">
        <v>583</v>
      </c>
      <c r="E67" s="126" t="s">
        <v>762</v>
      </c>
      <c r="F67" s="126" t="s">
        <v>763</v>
      </c>
    </row>
    <row r="68" spans="1:6" x14ac:dyDescent="0.35">
      <c r="A68" s="126" t="s">
        <v>646</v>
      </c>
      <c r="B68" s="126">
        <v>9</v>
      </c>
      <c r="C68" s="126">
        <v>9</v>
      </c>
      <c r="D68" s="126" t="s">
        <v>583</v>
      </c>
      <c r="E68" s="126" t="s">
        <v>1287</v>
      </c>
      <c r="F68" s="126" t="s">
        <v>62</v>
      </c>
    </row>
    <row r="69" spans="1:6" x14ac:dyDescent="0.35">
      <c r="A69" s="126" t="s">
        <v>646</v>
      </c>
      <c r="B69" s="126">
        <v>10</v>
      </c>
      <c r="C69" s="126">
        <v>10</v>
      </c>
      <c r="D69" s="126" t="s">
        <v>583</v>
      </c>
      <c r="E69" s="126" t="s">
        <v>767</v>
      </c>
      <c r="F69" s="126" t="s">
        <v>788</v>
      </c>
    </row>
    <row r="70" spans="1:6" x14ac:dyDescent="0.35">
      <c r="A70" s="126" t="s">
        <v>646</v>
      </c>
      <c r="B70" s="126">
        <v>11</v>
      </c>
      <c r="C70" s="126">
        <v>11</v>
      </c>
      <c r="D70" s="126" t="s">
        <v>583</v>
      </c>
      <c r="E70" s="126" t="s">
        <v>709</v>
      </c>
      <c r="F70" s="126" t="s">
        <v>710</v>
      </c>
    </row>
    <row r="71" spans="1:6" x14ac:dyDescent="0.35">
      <c r="A71" s="126" t="s">
        <v>646</v>
      </c>
      <c r="B71" s="126">
        <v>12</v>
      </c>
      <c r="C71" s="126">
        <v>12</v>
      </c>
      <c r="D71" s="126" t="s">
        <v>583</v>
      </c>
      <c r="E71" s="126" t="s">
        <v>645</v>
      </c>
      <c r="F71" s="126" t="s">
        <v>62</v>
      </c>
    </row>
    <row r="72" spans="1:6" x14ac:dyDescent="0.35">
      <c r="A72" s="126" t="s">
        <v>646</v>
      </c>
      <c r="B72" s="126">
        <v>14</v>
      </c>
      <c r="C72" s="126">
        <v>14</v>
      </c>
      <c r="D72" s="126" t="s">
        <v>583</v>
      </c>
      <c r="E72" s="126" t="s">
        <v>819</v>
      </c>
      <c r="F72" s="126" t="s">
        <v>820</v>
      </c>
    </row>
    <row r="73" spans="1:6" x14ac:dyDescent="0.35">
      <c r="A73" s="126" t="s">
        <v>646</v>
      </c>
      <c r="B73" s="126">
        <v>15</v>
      </c>
      <c r="C73" s="126">
        <v>15</v>
      </c>
      <c r="D73" s="126" t="s">
        <v>583</v>
      </c>
      <c r="E73" s="126" t="s">
        <v>739</v>
      </c>
      <c r="F73" s="126" t="s">
        <v>740</v>
      </c>
    </row>
    <row r="74" spans="1:6" x14ac:dyDescent="0.35">
      <c r="A74" s="126" t="s">
        <v>646</v>
      </c>
      <c r="B74" s="126">
        <v>16</v>
      </c>
      <c r="C74" s="126">
        <v>16</v>
      </c>
      <c r="D74" s="126" t="s">
        <v>583</v>
      </c>
      <c r="E74" s="126" t="s">
        <v>732</v>
      </c>
      <c r="F74" s="126" t="s">
        <v>731</v>
      </c>
    </row>
    <row r="75" spans="1:6" x14ac:dyDescent="0.35">
      <c r="A75" s="126" t="s">
        <v>646</v>
      </c>
      <c r="B75" s="126">
        <v>17</v>
      </c>
      <c r="C75" s="126">
        <v>17</v>
      </c>
      <c r="D75" s="126" t="s">
        <v>583</v>
      </c>
      <c r="E75" s="126" t="s">
        <v>457</v>
      </c>
      <c r="F75" s="126" t="s">
        <v>62</v>
      </c>
    </row>
    <row r="76" spans="1:6" x14ac:dyDescent="0.35">
      <c r="A76" s="126" t="s">
        <v>646</v>
      </c>
      <c r="B76" s="126">
        <v>17</v>
      </c>
      <c r="C76" s="126">
        <v>17</v>
      </c>
      <c r="D76" s="126" t="s">
        <v>583</v>
      </c>
      <c r="E76" s="126" t="s">
        <v>894</v>
      </c>
      <c r="F76" s="126" t="s">
        <v>62</v>
      </c>
    </row>
    <row r="77" spans="1:6" x14ac:dyDescent="0.35">
      <c r="A77" s="126" t="s">
        <v>646</v>
      </c>
      <c r="B77" s="126">
        <v>18</v>
      </c>
      <c r="C77" s="126">
        <v>18</v>
      </c>
      <c r="D77" s="126" t="s">
        <v>583</v>
      </c>
      <c r="E77" s="129" t="s">
        <v>1018</v>
      </c>
      <c r="F77" s="126" t="s">
        <v>62</v>
      </c>
    </row>
    <row r="78" spans="1:6" x14ac:dyDescent="0.35">
      <c r="A78" s="126" t="s">
        <v>646</v>
      </c>
      <c r="B78" s="126">
        <v>19</v>
      </c>
      <c r="C78" s="126">
        <v>19</v>
      </c>
      <c r="D78" s="126" t="s">
        <v>583</v>
      </c>
      <c r="E78" s="126" t="s">
        <v>716</v>
      </c>
      <c r="F78" s="126" t="s">
        <v>717</v>
      </c>
    </row>
    <row r="79" spans="1:6" x14ac:dyDescent="0.35">
      <c r="A79" s="126" t="s">
        <v>646</v>
      </c>
      <c r="B79" s="126">
        <v>21</v>
      </c>
      <c r="C79" s="126">
        <v>21</v>
      </c>
      <c r="D79" s="126" t="s">
        <v>583</v>
      </c>
      <c r="E79" s="126" t="s">
        <v>840</v>
      </c>
      <c r="F79" s="126" t="s">
        <v>62</v>
      </c>
    </row>
    <row r="80" spans="1:6" x14ac:dyDescent="0.35">
      <c r="A80" s="126" t="s">
        <v>646</v>
      </c>
      <c r="B80" s="126">
        <v>22</v>
      </c>
      <c r="C80" s="126">
        <v>22</v>
      </c>
      <c r="D80" s="126" t="s">
        <v>583</v>
      </c>
      <c r="E80" s="126" t="s">
        <v>465</v>
      </c>
      <c r="F80" s="126" t="s">
        <v>62</v>
      </c>
    </row>
    <row r="81" spans="1:6" x14ac:dyDescent="0.35">
      <c r="A81" s="126" t="s">
        <v>646</v>
      </c>
      <c r="B81" s="126">
        <v>23</v>
      </c>
      <c r="C81" s="126">
        <v>23</v>
      </c>
      <c r="D81" s="126" t="s">
        <v>583</v>
      </c>
      <c r="E81" s="126" t="s">
        <v>729</v>
      </c>
      <c r="F81" s="126" t="s">
        <v>730</v>
      </c>
    </row>
    <row r="82" spans="1:6" x14ac:dyDescent="0.35">
      <c r="A82" s="126" t="s">
        <v>646</v>
      </c>
      <c r="B82" s="126">
        <v>24</v>
      </c>
      <c r="C82" s="126">
        <v>24</v>
      </c>
      <c r="D82" s="126" t="s">
        <v>583</v>
      </c>
      <c r="E82" s="126" t="s">
        <v>837</v>
      </c>
      <c r="F82" s="126" t="s">
        <v>839</v>
      </c>
    </row>
    <row r="83" spans="1:6" x14ac:dyDescent="0.35">
      <c r="A83" s="126" t="s">
        <v>646</v>
      </c>
      <c r="B83" s="126">
        <v>25</v>
      </c>
      <c r="C83" s="126">
        <v>25</v>
      </c>
      <c r="D83" s="126" t="s">
        <v>583</v>
      </c>
      <c r="E83" s="126" t="s">
        <v>821</v>
      </c>
      <c r="F83" s="126" t="s">
        <v>62</v>
      </c>
    </row>
    <row r="84" spans="1:6" x14ac:dyDescent="0.35">
      <c r="A84" s="126" t="s">
        <v>646</v>
      </c>
      <c r="B84" s="126">
        <v>26</v>
      </c>
      <c r="C84" s="126">
        <v>26</v>
      </c>
      <c r="D84" s="126" t="s">
        <v>583</v>
      </c>
      <c r="E84" s="126" t="s">
        <v>694</v>
      </c>
      <c r="F84" s="126" t="s">
        <v>588</v>
      </c>
    </row>
    <row r="85" spans="1:6" x14ac:dyDescent="0.35">
      <c r="A85" s="126" t="s">
        <v>646</v>
      </c>
      <c r="B85" s="126">
        <v>27</v>
      </c>
      <c r="C85" s="126">
        <v>27</v>
      </c>
      <c r="D85" s="126" t="s">
        <v>583</v>
      </c>
      <c r="E85" s="126" t="s">
        <v>586</v>
      </c>
      <c r="F85" s="126" t="s">
        <v>584</v>
      </c>
    </row>
    <row r="86" spans="1:6" x14ac:dyDescent="0.35">
      <c r="A86" s="126" t="s">
        <v>646</v>
      </c>
      <c r="B86" s="126">
        <v>28</v>
      </c>
      <c r="C86" s="126">
        <v>28</v>
      </c>
      <c r="D86" s="126" t="s">
        <v>583</v>
      </c>
      <c r="E86" s="126" t="s">
        <v>720</v>
      </c>
      <c r="F86" s="126" t="s">
        <v>721</v>
      </c>
    </row>
    <row r="87" spans="1:6" x14ac:dyDescent="0.35">
      <c r="A87" s="126" t="s">
        <v>646</v>
      </c>
      <c r="B87" s="126">
        <v>29</v>
      </c>
      <c r="C87" s="126">
        <v>29</v>
      </c>
      <c r="D87" s="126" t="s">
        <v>583</v>
      </c>
      <c r="E87" s="126" t="s">
        <v>828</v>
      </c>
      <c r="F87" s="126" t="s">
        <v>744</v>
      </c>
    </row>
    <row r="88" spans="1:6" x14ac:dyDescent="0.35">
      <c r="A88" s="126" t="s">
        <v>646</v>
      </c>
      <c r="B88" s="126">
        <v>30</v>
      </c>
      <c r="C88" s="126">
        <v>30</v>
      </c>
      <c r="D88" s="126" t="s">
        <v>583</v>
      </c>
      <c r="E88" s="126" t="s">
        <v>585</v>
      </c>
      <c r="F88" s="126" t="s">
        <v>584</v>
      </c>
    </row>
    <row r="89" spans="1:6" x14ac:dyDescent="0.35">
      <c r="A89" s="126" t="s">
        <v>646</v>
      </c>
      <c r="B89" s="126">
        <v>31</v>
      </c>
      <c r="C89" s="126">
        <v>31</v>
      </c>
      <c r="D89" s="126" t="s">
        <v>583</v>
      </c>
      <c r="E89" s="126" t="s">
        <v>726</v>
      </c>
      <c r="F89" s="126" t="s">
        <v>727</v>
      </c>
    </row>
    <row r="90" spans="1:6" x14ac:dyDescent="0.35">
      <c r="A90" s="126" t="s">
        <v>646</v>
      </c>
      <c r="B90" s="126">
        <v>32</v>
      </c>
      <c r="C90" s="126">
        <v>32</v>
      </c>
      <c r="D90" s="126" t="s">
        <v>583</v>
      </c>
      <c r="E90" s="126" t="s">
        <v>836</v>
      </c>
      <c r="F90" s="126" t="s">
        <v>1019</v>
      </c>
    </row>
    <row r="91" spans="1:6" x14ac:dyDescent="0.35">
      <c r="A91" s="126" t="s">
        <v>646</v>
      </c>
      <c r="B91" s="126">
        <v>32</v>
      </c>
      <c r="C91" s="126">
        <v>32</v>
      </c>
      <c r="D91" s="126" t="s">
        <v>583</v>
      </c>
      <c r="E91" s="126" t="s">
        <v>1294</v>
      </c>
    </row>
    <row r="92" spans="1:6" x14ac:dyDescent="0.35">
      <c r="A92" s="126" t="s">
        <v>646</v>
      </c>
      <c r="B92" s="126">
        <v>33</v>
      </c>
      <c r="C92" s="126">
        <v>33</v>
      </c>
      <c r="D92" s="126" t="s">
        <v>583</v>
      </c>
      <c r="E92" s="126" t="s">
        <v>812</v>
      </c>
      <c r="F92" s="126" t="s">
        <v>813</v>
      </c>
    </row>
    <row r="93" spans="1:6" x14ac:dyDescent="0.35">
      <c r="A93" s="126" t="s">
        <v>646</v>
      </c>
      <c r="B93" s="126">
        <v>34</v>
      </c>
      <c r="C93" s="126">
        <v>34</v>
      </c>
      <c r="D93" s="126" t="s">
        <v>583</v>
      </c>
      <c r="E93" s="126" t="s">
        <v>746</v>
      </c>
      <c r="F93" s="126" t="s">
        <v>62</v>
      </c>
    </row>
    <row r="94" spans="1:6" x14ac:dyDescent="0.35">
      <c r="A94" s="126" t="s">
        <v>646</v>
      </c>
      <c r="B94" s="126">
        <v>35</v>
      </c>
      <c r="C94" s="126">
        <v>35</v>
      </c>
      <c r="D94" s="126" t="s">
        <v>583</v>
      </c>
      <c r="E94" s="126" t="s">
        <v>801</v>
      </c>
      <c r="F94" s="126" t="s">
        <v>802</v>
      </c>
    </row>
    <row r="95" spans="1:6" x14ac:dyDescent="0.35">
      <c r="A95" s="126" t="s">
        <v>646</v>
      </c>
      <c r="B95" s="126">
        <v>36</v>
      </c>
      <c r="C95" s="126">
        <v>36</v>
      </c>
      <c r="D95" s="126" t="s">
        <v>583</v>
      </c>
      <c r="E95" s="126" t="s">
        <v>797</v>
      </c>
      <c r="F95" s="126" t="s">
        <v>62</v>
      </c>
    </row>
    <row r="96" spans="1:6" x14ac:dyDescent="0.35">
      <c r="A96" s="126" t="s">
        <v>646</v>
      </c>
      <c r="B96" s="126">
        <v>37</v>
      </c>
      <c r="C96" s="126">
        <v>37</v>
      </c>
      <c r="D96" s="126" t="s">
        <v>583</v>
      </c>
      <c r="E96" s="126" t="s">
        <v>843</v>
      </c>
      <c r="F96" s="126" t="s">
        <v>62</v>
      </c>
    </row>
    <row r="97" spans="1:6" x14ac:dyDescent="0.35">
      <c r="A97" s="126" t="s">
        <v>646</v>
      </c>
      <c r="B97" s="126">
        <v>38</v>
      </c>
      <c r="C97" s="126">
        <v>38</v>
      </c>
      <c r="D97" s="126" t="s">
        <v>583</v>
      </c>
      <c r="E97" s="126" t="s">
        <v>479</v>
      </c>
      <c r="F97" s="126" t="s">
        <v>62</v>
      </c>
    </row>
    <row r="98" spans="1:6" x14ac:dyDescent="0.35">
      <c r="A98" s="126" t="s">
        <v>646</v>
      </c>
      <c r="B98" s="126">
        <v>39</v>
      </c>
      <c r="C98" s="126">
        <v>39</v>
      </c>
      <c r="D98" s="126" t="s">
        <v>583</v>
      </c>
      <c r="E98" s="126" t="s">
        <v>478</v>
      </c>
      <c r="F98" s="126" t="s">
        <v>62</v>
      </c>
    </row>
    <row r="99" spans="1:6" x14ac:dyDescent="0.35">
      <c r="A99" s="126" t="s">
        <v>646</v>
      </c>
      <c r="B99" s="126">
        <v>40</v>
      </c>
      <c r="C99" s="126">
        <v>40</v>
      </c>
      <c r="D99" s="126" t="s">
        <v>583</v>
      </c>
      <c r="E99" s="126" t="s">
        <v>858</v>
      </c>
      <c r="F99" s="126" t="s">
        <v>62</v>
      </c>
    </row>
    <row r="100" spans="1:6" x14ac:dyDescent="0.35">
      <c r="A100" s="126" t="s">
        <v>646</v>
      </c>
      <c r="B100" s="126">
        <v>41</v>
      </c>
      <c r="C100" s="126">
        <v>41</v>
      </c>
      <c r="D100" s="126" t="s">
        <v>583</v>
      </c>
      <c r="E100" s="126" t="s">
        <v>537</v>
      </c>
      <c r="F100" s="126" t="s">
        <v>62</v>
      </c>
    </row>
    <row r="101" spans="1:6" x14ac:dyDescent="0.35">
      <c r="A101" s="126" t="s">
        <v>646</v>
      </c>
      <c r="B101" s="126">
        <v>42</v>
      </c>
      <c r="C101" s="126">
        <v>42</v>
      </c>
      <c r="D101" s="126" t="s">
        <v>583</v>
      </c>
      <c r="E101" s="126" t="s">
        <v>862</v>
      </c>
      <c r="F101" s="126" t="s">
        <v>62</v>
      </c>
    </row>
    <row r="102" spans="1:6" x14ac:dyDescent="0.35">
      <c r="A102" s="126" t="s">
        <v>646</v>
      </c>
      <c r="B102" s="126">
        <v>43</v>
      </c>
      <c r="C102" s="126">
        <v>43</v>
      </c>
      <c r="D102" s="126" t="s">
        <v>583</v>
      </c>
      <c r="E102" s="128" t="s">
        <v>571</v>
      </c>
      <c r="F102" s="126" t="s">
        <v>584</v>
      </c>
    </row>
    <row r="103" spans="1:6" x14ac:dyDescent="0.35">
      <c r="A103" s="126" t="s">
        <v>646</v>
      </c>
      <c r="B103" s="126">
        <v>44</v>
      </c>
      <c r="C103" s="126">
        <v>44</v>
      </c>
      <c r="D103" s="126" t="s">
        <v>583</v>
      </c>
      <c r="E103" s="126" t="s">
        <v>481</v>
      </c>
      <c r="F103" s="126" t="s">
        <v>62</v>
      </c>
    </row>
    <row r="104" spans="1:6" x14ac:dyDescent="0.35">
      <c r="A104" s="126" t="s">
        <v>646</v>
      </c>
      <c r="B104" s="126">
        <v>45</v>
      </c>
      <c r="C104" s="126">
        <v>45</v>
      </c>
      <c r="D104" s="126" t="s">
        <v>583</v>
      </c>
      <c r="E104" s="126" t="s">
        <v>765</v>
      </c>
      <c r="F104" s="126" t="s">
        <v>766</v>
      </c>
    </row>
    <row r="105" spans="1:6" x14ac:dyDescent="0.35">
      <c r="A105" s="126" t="s">
        <v>646</v>
      </c>
      <c r="B105" s="126">
        <v>46</v>
      </c>
      <c r="C105" s="126">
        <v>46</v>
      </c>
      <c r="D105" s="126" t="s">
        <v>583</v>
      </c>
      <c r="E105" s="126" t="s">
        <v>833</v>
      </c>
      <c r="F105" s="126" t="s">
        <v>834</v>
      </c>
    </row>
    <row r="106" spans="1:6" x14ac:dyDescent="0.35">
      <c r="A106" s="126" t="s">
        <v>646</v>
      </c>
      <c r="B106" s="126">
        <v>47</v>
      </c>
      <c r="C106" s="126">
        <v>47</v>
      </c>
      <c r="D106" s="126" t="s">
        <v>583</v>
      </c>
      <c r="E106" s="126" t="s">
        <v>796</v>
      </c>
      <c r="F106" s="126" t="s">
        <v>62</v>
      </c>
    </row>
    <row r="107" spans="1:6" x14ac:dyDescent="0.35">
      <c r="A107" s="126" t="s">
        <v>646</v>
      </c>
      <c r="B107" s="126">
        <v>48</v>
      </c>
      <c r="C107" s="126">
        <v>48</v>
      </c>
      <c r="D107" s="126" t="s">
        <v>583</v>
      </c>
      <c r="E107" s="128" t="s">
        <v>695</v>
      </c>
      <c r="F107" s="126" t="s">
        <v>62</v>
      </c>
    </row>
    <row r="108" spans="1:6" x14ac:dyDescent="0.35">
      <c r="A108" s="126" t="s">
        <v>646</v>
      </c>
      <c r="B108" s="126">
        <v>49</v>
      </c>
      <c r="C108" s="126">
        <v>49</v>
      </c>
      <c r="D108" s="126" t="s">
        <v>583</v>
      </c>
      <c r="E108" s="126" t="s">
        <v>754</v>
      </c>
      <c r="F108" s="126" t="s">
        <v>62</v>
      </c>
    </row>
    <row r="109" spans="1:6" x14ac:dyDescent="0.35">
      <c r="A109" s="126" t="s">
        <v>646</v>
      </c>
      <c r="B109" s="126">
        <v>51</v>
      </c>
      <c r="C109" s="126">
        <v>51</v>
      </c>
      <c r="D109" s="126" t="s">
        <v>583</v>
      </c>
      <c r="E109" s="126" t="s">
        <v>898</v>
      </c>
      <c r="F109" s="126" t="s">
        <v>62</v>
      </c>
    </row>
    <row r="110" spans="1:6" x14ac:dyDescent="0.35">
      <c r="A110" s="126" t="s">
        <v>646</v>
      </c>
      <c r="B110" s="126">
        <v>50</v>
      </c>
      <c r="C110" s="126">
        <v>50</v>
      </c>
      <c r="D110" s="126" t="s">
        <v>583</v>
      </c>
      <c r="E110" s="126" t="s">
        <v>574</v>
      </c>
      <c r="F110" s="126" t="s">
        <v>62</v>
      </c>
    </row>
    <row r="111" spans="1:6" x14ac:dyDescent="0.35">
      <c r="A111" s="126" t="s">
        <v>646</v>
      </c>
      <c r="B111" s="126">
        <v>51</v>
      </c>
      <c r="C111" s="126">
        <v>51</v>
      </c>
      <c r="D111" s="126" t="s">
        <v>583</v>
      </c>
      <c r="E111" s="126" t="s">
        <v>1037</v>
      </c>
      <c r="F111" s="126" t="s">
        <v>1038</v>
      </c>
    </row>
    <row r="112" spans="1:6" x14ac:dyDescent="0.35">
      <c r="A112" s="126" t="s">
        <v>646</v>
      </c>
      <c r="B112" s="126">
        <v>51</v>
      </c>
      <c r="C112" s="126" t="s">
        <v>62</v>
      </c>
      <c r="D112" s="126" t="s">
        <v>590</v>
      </c>
      <c r="E112" s="126" t="s">
        <v>449</v>
      </c>
      <c r="F112" s="126" t="s">
        <v>62</v>
      </c>
    </row>
    <row r="113" spans="1:6" x14ac:dyDescent="0.35">
      <c r="A113" s="126" t="s">
        <v>646</v>
      </c>
      <c r="B113" s="126">
        <v>52</v>
      </c>
      <c r="C113" s="126" t="s">
        <v>62</v>
      </c>
      <c r="D113" s="126" t="s">
        <v>590</v>
      </c>
      <c r="E113" s="126" t="s">
        <v>452</v>
      </c>
      <c r="F113" s="126" t="s">
        <v>62</v>
      </c>
    </row>
    <row r="114" spans="1:6" x14ac:dyDescent="0.35">
      <c r="A114" s="126" t="s">
        <v>646</v>
      </c>
      <c r="B114" s="126">
        <v>53</v>
      </c>
      <c r="C114" s="126" t="s">
        <v>62</v>
      </c>
      <c r="D114" s="126" t="s">
        <v>590</v>
      </c>
      <c r="E114" s="126" t="s">
        <v>453</v>
      </c>
      <c r="F114" s="126" t="s">
        <v>62</v>
      </c>
    </row>
    <row r="115" spans="1:6" x14ac:dyDescent="0.35">
      <c r="A115" s="126" t="s">
        <v>646</v>
      </c>
      <c r="B115" s="126">
        <v>54</v>
      </c>
      <c r="C115" s="126" t="s">
        <v>62</v>
      </c>
      <c r="D115" s="126" t="s">
        <v>590</v>
      </c>
      <c r="E115" s="126" t="s">
        <v>891</v>
      </c>
      <c r="F115" s="126" t="s">
        <v>62</v>
      </c>
    </row>
    <row r="116" spans="1:6" x14ac:dyDescent="0.35">
      <c r="A116" s="126" t="s">
        <v>646</v>
      </c>
      <c r="B116" s="126">
        <v>55</v>
      </c>
      <c r="C116" s="126" t="s">
        <v>62</v>
      </c>
      <c r="D116" s="126" t="s">
        <v>590</v>
      </c>
      <c r="E116" s="126" t="s">
        <v>892</v>
      </c>
      <c r="F116" s="126" t="s">
        <v>62</v>
      </c>
    </row>
    <row r="117" spans="1:6" x14ac:dyDescent="0.35">
      <c r="A117" s="126" t="s">
        <v>646</v>
      </c>
      <c r="B117" s="126">
        <v>56</v>
      </c>
      <c r="C117" s="126" t="s">
        <v>62</v>
      </c>
      <c r="D117" s="126" t="s">
        <v>590</v>
      </c>
      <c r="E117" s="126" t="s">
        <v>454</v>
      </c>
      <c r="F117" s="126" t="s">
        <v>62</v>
      </c>
    </row>
    <row r="118" spans="1:6" x14ac:dyDescent="0.35">
      <c r="A118" s="126" t="s">
        <v>646</v>
      </c>
      <c r="B118" s="126">
        <v>57</v>
      </c>
      <c r="C118" s="126" t="s">
        <v>62</v>
      </c>
      <c r="D118" s="126" t="s">
        <v>590</v>
      </c>
      <c r="E118" s="126" t="s">
        <v>455</v>
      </c>
      <c r="F118" s="126" t="s">
        <v>62</v>
      </c>
    </row>
    <row r="119" spans="1:6" x14ac:dyDescent="0.35">
      <c r="A119" s="126" t="s">
        <v>646</v>
      </c>
      <c r="B119" s="126">
        <v>58</v>
      </c>
      <c r="C119" s="126" t="s">
        <v>62</v>
      </c>
      <c r="D119" s="126" t="s">
        <v>590</v>
      </c>
      <c r="E119" s="126" t="s">
        <v>458</v>
      </c>
      <c r="F119" s="126" t="s">
        <v>62</v>
      </c>
    </row>
    <row r="120" spans="1:6" x14ac:dyDescent="0.35">
      <c r="A120" s="126" t="s">
        <v>646</v>
      </c>
      <c r="B120" s="126">
        <v>59</v>
      </c>
      <c r="C120" s="126" t="s">
        <v>62</v>
      </c>
      <c r="D120" s="126" t="s">
        <v>590</v>
      </c>
      <c r="E120" s="126" t="s">
        <v>459</v>
      </c>
      <c r="F120" s="126" t="s">
        <v>62</v>
      </c>
    </row>
    <row r="121" spans="1:6" x14ac:dyDescent="0.35">
      <c r="A121" s="126" t="s">
        <v>646</v>
      </c>
      <c r="B121" s="126">
        <v>60</v>
      </c>
      <c r="C121" s="126" t="s">
        <v>62</v>
      </c>
      <c r="D121" s="126" t="s">
        <v>590</v>
      </c>
      <c r="E121" s="126" t="s">
        <v>460</v>
      </c>
      <c r="F121" s="126" t="s">
        <v>588</v>
      </c>
    </row>
    <row r="122" spans="1:6" x14ac:dyDescent="0.35">
      <c r="A122" s="126" t="s">
        <v>646</v>
      </c>
      <c r="B122" s="126">
        <v>61</v>
      </c>
      <c r="C122" s="126" t="s">
        <v>62</v>
      </c>
      <c r="D122" s="126" t="s">
        <v>590</v>
      </c>
      <c r="E122" s="126" t="s">
        <v>462</v>
      </c>
      <c r="F122" s="126" t="s">
        <v>62</v>
      </c>
    </row>
    <row r="123" spans="1:6" x14ac:dyDescent="0.35">
      <c r="A123" s="126" t="s">
        <v>646</v>
      </c>
      <c r="B123" s="126">
        <v>62</v>
      </c>
      <c r="C123" s="126" t="s">
        <v>62</v>
      </c>
      <c r="D123" s="126" t="s">
        <v>590</v>
      </c>
      <c r="E123" s="126" t="s">
        <v>463</v>
      </c>
      <c r="F123" s="126" t="s">
        <v>62</v>
      </c>
    </row>
    <row r="124" spans="1:6" x14ac:dyDescent="0.35">
      <c r="A124" s="126" t="s">
        <v>646</v>
      </c>
      <c r="B124" s="126">
        <v>63</v>
      </c>
      <c r="C124" s="126" t="s">
        <v>62</v>
      </c>
      <c r="D124" s="126" t="s">
        <v>590</v>
      </c>
      <c r="E124" s="126" t="s">
        <v>532</v>
      </c>
      <c r="F124" s="126" t="s">
        <v>62</v>
      </c>
    </row>
    <row r="125" spans="1:6" x14ac:dyDescent="0.35">
      <c r="A125" s="126" t="s">
        <v>646</v>
      </c>
      <c r="B125" s="126">
        <v>64</v>
      </c>
      <c r="C125" s="126" t="s">
        <v>62</v>
      </c>
      <c r="D125" s="126" t="s">
        <v>590</v>
      </c>
      <c r="E125" s="126" t="s">
        <v>464</v>
      </c>
      <c r="F125" s="126" t="s">
        <v>62</v>
      </c>
    </row>
    <row r="126" spans="1:6" x14ac:dyDescent="0.35">
      <c r="A126" s="126" t="s">
        <v>646</v>
      </c>
      <c r="B126" s="126">
        <v>65</v>
      </c>
      <c r="C126" s="126" t="s">
        <v>62</v>
      </c>
      <c r="D126" s="126" t="s">
        <v>590</v>
      </c>
      <c r="E126" s="126" t="s">
        <v>467</v>
      </c>
      <c r="F126" s="126" t="s">
        <v>62</v>
      </c>
    </row>
    <row r="127" spans="1:6" x14ac:dyDescent="0.35">
      <c r="A127" s="126" t="s">
        <v>646</v>
      </c>
      <c r="B127" s="126">
        <v>66</v>
      </c>
      <c r="C127" s="126" t="s">
        <v>62</v>
      </c>
      <c r="D127" s="126" t="s">
        <v>590</v>
      </c>
      <c r="E127" s="126" t="s">
        <v>468</v>
      </c>
      <c r="F127" s="126" t="s">
        <v>62</v>
      </c>
    </row>
    <row r="128" spans="1:6" x14ac:dyDescent="0.35">
      <c r="A128" s="126" t="s">
        <v>646</v>
      </c>
      <c r="B128" s="126">
        <v>67</v>
      </c>
      <c r="C128" s="126" t="s">
        <v>62</v>
      </c>
      <c r="D128" s="126" t="s">
        <v>590</v>
      </c>
      <c r="E128" s="126" t="s">
        <v>469</v>
      </c>
      <c r="F128" s="126" t="s">
        <v>62</v>
      </c>
    </row>
    <row r="129" spans="1:6" x14ac:dyDescent="0.35">
      <c r="A129" s="126" t="s">
        <v>646</v>
      </c>
      <c r="B129" s="126">
        <v>68</v>
      </c>
      <c r="C129" s="126" t="s">
        <v>62</v>
      </c>
      <c r="D129" s="126" t="s">
        <v>590</v>
      </c>
      <c r="E129" s="126" t="s">
        <v>470</v>
      </c>
      <c r="F129" s="126" t="s">
        <v>62</v>
      </c>
    </row>
    <row r="130" spans="1:6" x14ac:dyDescent="0.35">
      <c r="A130" s="126" t="s">
        <v>646</v>
      </c>
      <c r="B130" s="126">
        <v>69</v>
      </c>
      <c r="C130" s="126" t="s">
        <v>62</v>
      </c>
      <c r="D130" s="126" t="s">
        <v>590</v>
      </c>
      <c r="E130" s="126" t="s">
        <v>471</v>
      </c>
      <c r="F130" s="126" t="s">
        <v>62</v>
      </c>
    </row>
    <row r="131" spans="1:6" x14ac:dyDescent="0.35">
      <c r="A131" s="126" t="s">
        <v>646</v>
      </c>
      <c r="B131" s="126">
        <v>83</v>
      </c>
      <c r="C131" s="126" t="s">
        <v>62</v>
      </c>
      <c r="D131" s="126" t="s">
        <v>590</v>
      </c>
      <c r="E131" s="126" t="s">
        <v>1041</v>
      </c>
      <c r="F131" s="126" t="s">
        <v>1042</v>
      </c>
    </row>
    <row r="132" spans="1:6" x14ac:dyDescent="0.35">
      <c r="A132" s="126" t="s">
        <v>646</v>
      </c>
      <c r="B132" s="126">
        <v>70</v>
      </c>
      <c r="C132" s="126" t="s">
        <v>62</v>
      </c>
      <c r="D132" s="126" t="s">
        <v>590</v>
      </c>
      <c r="E132" s="126" t="s">
        <v>472</v>
      </c>
      <c r="F132" s="126" t="s">
        <v>62</v>
      </c>
    </row>
    <row r="133" spans="1:6" x14ac:dyDescent="0.35">
      <c r="A133" s="126" t="s">
        <v>646</v>
      </c>
      <c r="B133" s="126">
        <v>71</v>
      </c>
      <c r="C133" s="126" t="s">
        <v>62</v>
      </c>
      <c r="D133" s="126" t="s">
        <v>590</v>
      </c>
      <c r="E133" s="126" t="s">
        <v>473</v>
      </c>
      <c r="F133" s="126" t="s">
        <v>62</v>
      </c>
    </row>
    <row r="134" spans="1:6" x14ac:dyDescent="0.35">
      <c r="A134" s="126" t="s">
        <v>646</v>
      </c>
      <c r="B134" s="126">
        <v>72</v>
      </c>
      <c r="C134" s="126" t="s">
        <v>62</v>
      </c>
      <c r="D134" s="126" t="s">
        <v>590</v>
      </c>
      <c r="E134" s="126" t="s">
        <v>474</v>
      </c>
      <c r="F134" s="126" t="s">
        <v>62</v>
      </c>
    </row>
    <row r="135" spans="1:6" x14ac:dyDescent="0.35">
      <c r="A135" s="126" t="s">
        <v>646</v>
      </c>
      <c r="B135" s="126">
        <v>73</v>
      </c>
      <c r="C135" s="126" t="s">
        <v>62</v>
      </c>
      <c r="D135" s="126" t="s">
        <v>590</v>
      </c>
      <c r="E135" s="126" t="s">
        <v>475</v>
      </c>
      <c r="F135" s="126" t="s">
        <v>62</v>
      </c>
    </row>
    <row r="136" spans="1:6" x14ac:dyDescent="0.35">
      <c r="A136" s="126" t="s">
        <v>646</v>
      </c>
      <c r="B136" s="126">
        <v>74</v>
      </c>
      <c r="C136" s="126" t="s">
        <v>62</v>
      </c>
      <c r="D136" s="126" t="s">
        <v>590</v>
      </c>
      <c r="E136" s="126" t="s">
        <v>476</v>
      </c>
      <c r="F136" s="126" t="s">
        <v>62</v>
      </c>
    </row>
    <row r="137" spans="1:6" x14ac:dyDescent="0.35">
      <c r="A137" s="126" t="s">
        <v>646</v>
      </c>
      <c r="B137" s="126">
        <v>75</v>
      </c>
      <c r="C137" s="126" t="s">
        <v>62</v>
      </c>
      <c r="D137" s="126" t="s">
        <v>590</v>
      </c>
      <c r="E137" s="126" t="s">
        <v>644</v>
      </c>
      <c r="F137" s="126" t="s">
        <v>62</v>
      </c>
    </row>
    <row r="138" spans="1:6" x14ac:dyDescent="0.35">
      <c r="A138" s="126" t="s">
        <v>646</v>
      </c>
      <c r="B138" s="126">
        <v>76</v>
      </c>
      <c r="C138" s="126" t="s">
        <v>62</v>
      </c>
      <c r="D138" s="126" t="s">
        <v>590</v>
      </c>
      <c r="E138" s="126" t="s">
        <v>477</v>
      </c>
      <c r="F138" s="126" t="s">
        <v>62</v>
      </c>
    </row>
    <row r="139" spans="1:6" x14ac:dyDescent="0.35">
      <c r="A139" s="126" t="s">
        <v>646</v>
      </c>
      <c r="B139" s="126">
        <v>77</v>
      </c>
      <c r="C139" s="126" t="s">
        <v>62</v>
      </c>
      <c r="D139" s="126" t="s">
        <v>590</v>
      </c>
      <c r="E139" s="126" t="s">
        <v>480</v>
      </c>
      <c r="F139" s="126" t="s">
        <v>62</v>
      </c>
    </row>
    <row r="140" spans="1:6" x14ac:dyDescent="0.35">
      <c r="A140" s="126" t="s">
        <v>646</v>
      </c>
      <c r="B140" s="126">
        <v>78</v>
      </c>
      <c r="C140" s="126" t="s">
        <v>62</v>
      </c>
      <c r="D140" s="126" t="s">
        <v>590</v>
      </c>
      <c r="E140" s="126" t="s">
        <v>482</v>
      </c>
      <c r="F140" s="126" t="s">
        <v>62</v>
      </c>
    </row>
    <row r="141" spans="1:6" x14ac:dyDescent="0.35">
      <c r="A141" s="126" t="s">
        <v>646</v>
      </c>
      <c r="B141" s="126">
        <v>79</v>
      </c>
      <c r="C141" s="126" t="s">
        <v>62</v>
      </c>
      <c r="D141" s="126" t="s">
        <v>590</v>
      </c>
      <c r="E141" s="126" t="s">
        <v>483</v>
      </c>
      <c r="F141" s="126" t="s">
        <v>62</v>
      </c>
    </row>
    <row r="142" spans="1:6" x14ac:dyDescent="0.35">
      <c r="A142" s="126" t="s">
        <v>646</v>
      </c>
      <c r="B142" s="126">
        <v>80</v>
      </c>
      <c r="C142" s="126" t="s">
        <v>62</v>
      </c>
      <c r="D142" s="126" t="s">
        <v>590</v>
      </c>
      <c r="E142" s="126" t="s">
        <v>551</v>
      </c>
      <c r="F142" s="126" t="s">
        <v>62</v>
      </c>
    </row>
    <row r="143" spans="1:6" x14ac:dyDescent="0.35">
      <c r="A143" s="126" t="s">
        <v>646</v>
      </c>
      <c r="B143" s="126">
        <v>81</v>
      </c>
      <c r="C143" s="126" t="s">
        <v>62</v>
      </c>
      <c r="D143" s="126" t="s">
        <v>590</v>
      </c>
      <c r="E143" s="126" t="s">
        <v>890</v>
      </c>
      <c r="F143" s="126" t="s">
        <v>62</v>
      </c>
    </row>
    <row r="144" spans="1:6" x14ac:dyDescent="0.35">
      <c r="A144" s="126" t="s">
        <v>646</v>
      </c>
      <c r="B144" s="126">
        <v>82</v>
      </c>
      <c r="C144" s="126" t="s">
        <v>62</v>
      </c>
      <c r="D144" s="126" t="s">
        <v>590</v>
      </c>
      <c r="E144" s="126" t="s">
        <v>484</v>
      </c>
      <c r="F144" s="126" t="s">
        <v>62</v>
      </c>
    </row>
    <row r="145" spans="1:6" x14ac:dyDescent="0.35">
      <c r="A145" s="126" t="s">
        <v>646</v>
      </c>
      <c r="B145" s="126">
        <v>83</v>
      </c>
      <c r="C145" s="126" t="s">
        <v>62</v>
      </c>
      <c r="D145" s="126" t="s">
        <v>590</v>
      </c>
      <c r="E145" s="126" t="s">
        <v>485</v>
      </c>
      <c r="F145" s="126" t="s">
        <v>62</v>
      </c>
    </row>
    <row r="146" spans="1:6" x14ac:dyDescent="0.35">
      <c r="A146" s="126" t="s">
        <v>646</v>
      </c>
      <c r="B146" s="126">
        <v>84</v>
      </c>
      <c r="C146" s="126" t="s">
        <v>62</v>
      </c>
      <c r="D146" s="126" t="s">
        <v>583</v>
      </c>
      <c r="E146" s="126" t="s">
        <v>623</v>
      </c>
      <c r="F146" s="126" t="s">
        <v>624</v>
      </c>
    </row>
    <row r="147" spans="1:6" x14ac:dyDescent="0.35">
      <c r="A147" s="126" t="s">
        <v>1353</v>
      </c>
      <c r="B147" s="126">
        <v>1</v>
      </c>
      <c r="C147" s="126" t="s">
        <v>62</v>
      </c>
      <c r="D147" s="126" t="s">
        <v>1355</v>
      </c>
      <c r="E147" s="126" t="s">
        <v>1351</v>
      </c>
    </row>
    <row r="148" spans="1:6" x14ac:dyDescent="0.35">
      <c r="A148" s="126" t="s">
        <v>1353</v>
      </c>
      <c r="B148" s="126">
        <v>2</v>
      </c>
      <c r="C148" s="126" t="s">
        <v>62</v>
      </c>
      <c r="D148" s="126" t="s">
        <v>1355</v>
      </c>
      <c r="E148" s="126" t="s">
        <v>1036</v>
      </c>
    </row>
    <row r="149" spans="1:6" x14ac:dyDescent="0.35">
      <c r="A149" s="126" t="s">
        <v>1353</v>
      </c>
      <c r="B149" s="126">
        <v>3</v>
      </c>
      <c r="C149" s="126" t="s">
        <v>62</v>
      </c>
      <c r="D149" s="126" t="s">
        <v>1355</v>
      </c>
      <c r="E149" s="126" t="s">
        <v>479</v>
      </c>
    </row>
    <row r="150" spans="1:6" x14ac:dyDescent="0.35">
      <c r="A150" s="126" t="s">
        <v>1353</v>
      </c>
      <c r="B150" s="126">
        <v>4</v>
      </c>
      <c r="C150" s="126" t="s">
        <v>62</v>
      </c>
      <c r="D150" s="126" t="s">
        <v>1355</v>
      </c>
      <c r="E150" s="126" t="s">
        <v>478</v>
      </c>
    </row>
    <row r="151" spans="1:6" x14ac:dyDescent="0.35">
      <c r="A151" s="126" t="s">
        <v>1353</v>
      </c>
      <c r="B151" s="126">
        <v>5</v>
      </c>
      <c r="C151" s="126" t="s">
        <v>62</v>
      </c>
      <c r="D151" s="126" t="s">
        <v>1356</v>
      </c>
      <c r="E151" s="126" t="s">
        <v>1357</v>
      </c>
    </row>
    <row r="152" spans="1:6" x14ac:dyDescent="0.35">
      <c r="A152" s="126" t="s">
        <v>1353</v>
      </c>
      <c r="B152" s="126">
        <v>6</v>
      </c>
      <c r="C152" s="126" t="s">
        <v>62</v>
      </c>
      <c r="D152" s="126" t="s">
        <v>1355</v>
      </c>
      <c r="E152" s="126" t="s">
        <v>1379</v>
      </c>
    </row>
    <row r="153" spans="1:6" x14ac:dyDescent="0.35">
      <c r="A153" s="126" t="s">
        <v>658</v>
      </c>
      <c r="B153" s="126" t="s">
        <v>62</v>
      </c>
      <c r="C153" s="126" t="s">
        <v>62</v>
      </c>
      <c r="D153" s="126" t="s">
        <v>1355</v>
      </c>
      <c r="E153" s="126" t="s">
        <v>1382</v>
      </c>
    </row>
    <row r="154" spans="1:6" x14ac:dyDescent="0.35">
      <c r="A154" s="126" t="s">
        <v>658</v>
      </c>
      <c r="B154" s="126" t="s">
        <v>62</v>
      </c>
      <c r="C154" s="126" t="s">
        <v>62</v>
      </c>
      <c r="D154" s="126" t="s">
        <v>1355</v>
      </c>
      <c r="E154" s="126" t="s">
        <v>1408</v>
      </c>
    </row>
    <row r="155" spans="1:6" x14ac:dyDescent="0.35">
      <c r="A155" s="126" t="s">
        <v>646</v>
      </c>
      <c r="B155" s="126" t="s">
        <v>62</v>
      </c>
      <c r="C155" s="126" t="s">
        <v>62</v>
      </c>
      <c r="D155" s="126" t="s">
        <v>1355</v>
      </c>
      <c r="E155" s="126" t="s">
        <v>1408</v>
      </c>
      <c r="F155" s="126" t="s">
        <v>1490</v>
      </c>
    </row>
  </sheetData>
  <sortState xmlns:xlrd2="http://schemas.microsoft.com/office/spreadsheetml/2017/richdata2" ref="A2:F145">
    <sortCondition ref="A2:A145"/>
    <sortCondition ref="D2:D145"/>
    <sortCondition ref="E2:E145"/>
  </sortState>
  <phoneticPr fontId="4"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BB359-D2E3-4D44-A934-925A7D47C7E6}">
  <dimension ref="B1:AB48"/>
  <sheetViews>
    <sheetView topLeftCell="C1" workbookViewId="0">
      <selection activeCell="F4" sqref="F4"/>
    </sheetView>
  </sheetViews>
  <sheetFormatPr defaultRowHeight="14.5" x14ac:dyDescent="0.35"/>
  <cols>
    <col min="2" max="2" width="11.81640625" style="46" bestFit="1" customWidth="1"/>
    <col min="3" max="3" width="11.81640625" style="46" customWidth="1"/>
    <col min="4" max="4" width="72.54296875" style="89" bestFit="1" customWidth="1"/>
  </cols>
  <sheetData>
    <row r="1" spans="2:27" x14ac:dyDescent="0.35">
      <c r="B1" s="47" t="s">
        <v>6</v>
      </c>
      <c r="C1" s="47"/>
      <c r="D1" s="90" t="s">
        <v>368</v>
      </c>
      <c r="E1" s="2"/>
      <c r="F1" s="2"/>
      <c r="G1" s="2"/>
      <c r="H1" s="2"/>
      <c r="I1" s="2"/>
      <c r="J1" s="2"/>
      <c r="K1" s="2"/>
      <c r="L1" s="2"/>
      <c r="M1" s="2"/>
      <c r="N1" s="2"/>
      <c r="O1" s="2"/>
      <c r="P1" s="2"/>
      <c r="Q1" s="2"/>
      <c r="R1" s="2"/>
      <c r="S1" s="2"/>
      <c r="T1" s="2"/>
      <c r="U1" s="2"/>
      <c r="V1" s="2"/>
      <c r="W1" s="2"/>
      <c r="X1" s="2"/>
      <c r="Y1" s="2"/>
      <c r="Z1" s="2"/>
      <c r="AA1" s="2"/>
    </row>
    <row r="2" spans="2:27" x14ac:dyDescent="0.35">
      <c r="B2" s="46" t="s">
        <v>369</v>
      </c>
      <c r="D2" s="89" t="s">
        <v>560</v>
      </c>
      <c r="E2" s="2"/>
      <c r="F2" s="2"/>
      <c r="G2" s="2"/>
      <c r="H2" s="2"/>
      <c r="I2" s="2"/>
      <c r="J2" s="2"/>
      <c r="K2" s="2"/>
      <c r="L2" s="2"/>
      <c r="M2" s="2"/>
      <c r="N2" s="2"/>
      <c r="O2" s="2"/>
      <c r="P2" s="2"/>
      <c r="Q2" s="2"/>
      <c r="R2" s="2"/>
      <c r="S2" s="2"/>
      <c r="T2" s="2"/>
      <c r="U2" s="2"/>
      <c r="V2" s="2"/>
      <c r="W2" s="2"/>
      <c r="X2" s="2"/>
      <c r="Y2" s="2"/>
      <c r="Z2" s="2"/>
      <c r="AA2" s="2"/>
    </row>
    <row r="3" spans="2:27" x14ac:dyDescent="0.35">
      <c r="D3" s="89" t="s">
        <v>1056</v>
      </c>
      <c r="E3" s="2"/>
      <c r="F3" s="2"/>
      <c r="G3" s="2"/>
      <c r="H3" s="2"/>
      <c r="I3" s="2"/>
      <c r="J3" s="2"/>
      <c r="K3" s="2"/>
      <c r="L3" s="2"/>
      <c r="M3" s="2"/>
      <c r="N3" s="2"/>
      <c r="O3" s="2"/>
      <c r="P3" s="2"/>
      <c r="Q3" s="2"/>
      <c r="R3" s="2"/>
      <c r="S3" s="2"/>
      <c r="T3" s="2"/>
      <c r="U3" s="2"/>
      <c r="V3" s="2"/>
      <c r="W3" s="2"/>
      <c r="X3" s="2"/>
      <c r="Y3" s="2"/>
      <c r="Z3" s="2"/>
      <c r="AA3" s="2"/>
    </row>
    <row r="4" spans="2:27" ht="37.5" x14ac:dyDescent="0.35">
      <c r="D4" s="89" t="s">
        <v>381</v>
      </c>
      <c r="E4" s="2"/>
      <c r="F4" s="2"/>
      <c r="G4" s="2"/>
      <c r="H4" s="2"/>
      <c r="I4" s="2"/>
      <c r="J4" s="2"/>
      <c r="K4" s="2"/>
      <c r="L4" s="2"/>
      <c r="M4" s="2"/>
      <c r="N4" s="2"/>
      <c r="O4" s="2"/>
      <c r="P4" s="2"/>
      <c r="Q4" s="2"/>
      <c r="R4" s="2"/>
      <c r="S4" s="2"/>
      <c r="T4" s="2"/>
      <c r="U4" s="2"/>
      <c r="V4" s="2"/>
      <c r="W4" s="2"/>
      <c r="X4" s="2"/>
      <c r="Y4" s="2"/>
      <c r="Z4" s="2"/>
      <c r="AA4" s="2"/>
    </row>
    <row r="5" spans="2:27" x14ac:dyDescent="0.35">
      <c r="D5" s="89" t="s">
        <v>382</v>
      </c>
      <c r="E5" s="2"/>
      <c r="F5" s="2"/>
      <c r="G5" s="2"/>
      <c r="H5" s="2"/>
      <c r="I5" s="2"/>
      <c r="J5" s="2"/>
      <c r="K5" s="2"/>
      <c r="L5" s="2"/>
      <c r="M5" s="2"/>
      <c r="N5" s="2"/>
      <c r="O5" s="2"/>
      <c r="P5" s="2"/>
      <c r="Q5" s="2"/>
      <c r="R5" s="2"/>
      <c r="S5" s="2"/>
      <c r="T5" s="2"/>
      <c r="U5" s="2"/>
      <c r="V5" s="2"/>
      <c r="W5" s="2"/>
      <c r="X5" s="2"/>
      <c r="Y5" s="2"/>
      <c r="Z5" s="2"/>
      <c r="AA5" s="2"/>
    </row>
    <row r="6" spans="2:27" ht="25" x14ac:dyDescent="0.35">
      <c r="D6" s="91" t="s">
        <v>559</v>
      </c>
      <c r="E6" s="2"/>
      <c r="F6" s="2"/>
      <c r="G6" s="2"/>
      <c r="H6" s="2"/>
      <c r="I6" s="2"/>
      <c r="J6" s="2"/>
      <c r="K6" s="2"/>
      <c r="L6" s="2"/>
      <c r="M6" s="2"/>
      <c r="N6" s="2"/>
      <c r="O6" s="2"/>
      <c r="P6" s="2"/>
      <c r="Q6" s="2"/>
      <c r="R6" s="2"/>
      <c r="S6" s="2"/>
      <c r="T6" s="2"/>
      <c r="U6" s="2"/>
      <c r="V6" s="2"/>
      <c r="W6" s="2"/>
      <c r="X6" s="2"/>
      <c r="Y6" s="2"/>
      <c r="Z6" s="2"/>
      <c r="AA6" s="2"/>
    </row>
    <row r="7" spans="2:27" x14ac:dyDescent="0.35">
      <c r="D7" s="89" t="s">
        <v>376</v>
      </c>
      <c r="E7" s="2"/>
      <c r="F7" s="2"/>
      <c r="G7" s="2"/>
      <c r="H7" s="2"/>
      <c r="I7" s="2"/>
      <c r="J7" s="2"/>
      <c r="K7" s="2"/>
      <c r="L7" s="2"/>
      <c r="M7" s="2"/>
      <c r="N7" s="2"/>
      <c r="O7" s="2"/>
      <c r="P7" s="2"/>
      <c r="Q7" s="2"/>
      <c r="R7" s="2"/>
      <c r="S7" s="2"/>
      <c r="T7" s="2"/>
      <c r="U7" s="2"/>
      <c r="V7" s="2"/>
      <c r="W7" s="2"/>
      <c r="X7" s="2"/>
      <c r="Y7" s="2"/>
      <c r="Z7" s="2"/>
      <c r="AA7" s="2"/>
    </row>
    <row r="8" spans="2:27" ht="25" x14ac:dyDescent="0.35">
      <c r="D8" s="89" t="s">
        <v>1383</v>
      </c>
      <c r="E8" s="2"/>
      <c r="F8" s="2"/>
      <c r="G8" s="2"/>
      <c r="H8" s="2"/>
      <c r="I8" s="2"/>
      <c r="J8" s="2"/>
      <c r="K8" s="2"/>
      <c r="L8" s="2"/>
      <c r="M8" s="2"/>
      <c r="N8" s="2"/>
      <c r="O8" s="2"/>
      <c r="P8" s="2"/>
      <c r="Q8" s="2"/>
      <c r="R8" s="2"/>
      <c r="S8" s="2"/>
      <c r="T8" s="2"/>
      <c r="U8" s="2"/>
      <c r="V8" s="2"/>
      <c r="W8" s="2"/>
      <c r="X8" s="2"/>
      <c r="Y8" s="2"/>
      <c r="Z8" s="2"/>
      <c r="AA8" s="2"/>
    </row>
    <row r="9" spans="2:27" x14ac:dyDescent="0.35">
      <c r="D9" s="89" t="s">
        <v>375</v>
      </c>
      <c r="E9" s="2"/>
      <c r="F9" s="2"/>
      <c r="G9" s="2"/>
      <c r="H9" s="2"/>
      <c r="I9" s="2"/>
      <c r="J9" s="2"/>
      <c r="K9" s="2"/>
      <c r="L9" s="2"/>
      <c r="M9" s="2"/>
      <c r="N9" s="2"/>
      <c r="O9" s="2"/>
      <c r="P9" s="2"/>
      <c r="Q9" s="2"/>
      <c r="R9" s="2"/>
      <c r="S9" s="2"/>
      <c r="T9" s="2"/>
      <c r="U9" s="2"/>
      <c r="V9" s="2"/>
      <c r="W9" s="2"/>
      <c r="X9" s="2"/>
      <c r="Y9" s="2"/>
      <c r="Z9" s="2"/>
      <c r="AA9" s="2"/>
    </row>
    <row r="10" spans="2:27" x14ac:dyDescent="0.35">
      <c r="B10" s="46" t="s">
        <v>377</v>
      </c>
      <c r="D10" s="89" t="s">
        <v>371</v>
      </c>
      <c r="E10" s="2"/>
      <c r="F10" s="2"/>
      <c r="G10" s="2"/>
      <c r="H10" s="2"/>
      <c r="I10" s="2"/>
      <c r="J10" s="2"/>
      <c r="K10" s="2"/>
      <c r="L10" s="2"/>
      <c r="M10" s="2"/>
      <c r="N10" s="2"/>
      <c r="O10" s="2"/>
      <c r="P10" s="2"/>
      <c r="Q10" s="2"/>
      <c r="R10" s="2"/>
      <c r="S10" s="2"/>
      <c r="T10" s="2"/>
      <c r="U10" s="2"/>
      <c r="V10" s="2"/>
      <c r="W10" s="2"/>
      <c r="X10" s="2"/>
      <c r="Y10" s="2"/>
      <c r="Z10" s="2"/>
      <c r="AA10" s="2"/>
    </row>
    <row r="11" spans="2:27" x14ac:dyDescent="0.35">
      <c r="D11" s="89" t="s">
        <v>1044</v>
      </c>
      <c r="E11" s="2"/>
      <c r="F11" s="2"/>
      <c r="G11" s="2"/>
      <c r="H11" s="2"/>
      <c r="I11" s="2"/>
      <c r="J11" s="2"/>
      <c r="K11" s="2"/>
      <c r="L11" s="2"/>
      <c r="M11" s="2"/>
      <c r="N11" s="2"/>
      <c r="O11" s="2"/>
      <c r="P11" s="2"/>
      <c r="Q11" s="2"/>
      <c r="R11" s="2"/>
      <c r="S11" s="2"/>
      <c r="T11" s="2"/>
      <c r="U11" s="2"/>
      <c r="V11" s="2"/>
      <c r="W11" s="2"/>
      <c r="X11" s="2"/>
      <c r="Y11" s="2"/>
      <c r="Z11" s="2"/>
      <c r="AA11" s="2"/>
    </row>
    <row r="12" spans="2:27" x14ac:dyDescent="0.35">
      <c r="D12" s="89" t="s">
        <v>374</v>
      </c>
    </row>
    <row r="13" spans="2:27" x14ac:dyDescent="0.35">
      <c r="D13" s="92" t="s">
        <v>561</v>
      </c>
    </row>
    <row r="14" spans="2:27" ht="25" x14ac:dyDescent="0.35">
      <c r="D14" s="89" t="s">
        <v>379</v>
      </c>
    </row>
    <row r="15" spans="2:27" x14ac:dyDescent="0.35">
      <c r="B15" s="46" t="s">
        <v>380</v>
      </c>
      <c r="D15" s="89" t="s">
        <v>378</v>
      </c>
    </row>
    <row r="16" spans="2:27" x14ac:dyDescent="0.35">
      <c r="D16" s="92" t="s">
        <v>558</v>
      </c>
    </row>
    <row r="17" spans="4:4" x14ac:dyDescent="0.35">
      <c r="D17" s="89" t="s">
        <v>562</v>
      </c>
    </row>
    <row r="18" spans="4:4" x14ac:dyDescent="0.35">
      <c r="D18" s="89" t="s">
        <v>373</v>
      </c>
    </row>
    <row r="19" spans="4:4" ht="25" x14ac:dyDescent="0.35">
      <c r="D19" s="89" t="s">
        <v>385</v>
      </c>
    </row>
    <row r="20" spans="4:4" x14ac:dyDescent="0.35">
      <c r="D20" s="89" t="s">
        <v>370</v>
      </c>
    </row>
    <row r="21" spans="4:4" ht="37.5" x14ac:dyDescent="0.35">
      <c r="D21" s="89" t="s">
        <v>1054</v>
      </c>
    </row>
    <row r="22" spans="4:4" ht="37.5" x14ac:dyDescent="0.35">
      <c r="D22" s="89" t="s">
        <v>1051</v>
      </c>
    </row>
    <row r="23" spans="4:4" ht="37.5" x14ac:dyDescent="0.35">
      <c r="D23" s="89" t="s">
        <v>1055</v>
      </c>
    </row>
    <row r="24" spans="4:4" ht="37.5" x14ac:dyDescent="0.35">
      <c r="D24" s="89" t="s">
        <v>1050</v>
      </c>
    </row>
    <row r="25" spans="4:4" ht="25" x14ac:dyDescent="0.35">
      <c r="D25" s="89" t="s">
        <v>386</v>
      </c>
    </row>
    <row r="26" spans="4:4" x14ac:dyDescent="0.35">
      <c r="D26" s="91" t="s">
        <v>384</v>
      </c>
    </row>
    <row r="27" spans="4:4" ht="37.5" x14ac:dyDescent="0.35">
      <c r="D27" s="89" t="s">
        <v>1053</v>
      </c>
    </row>
    <row r="28" spans="4:4" ht="25" x14ac:dyDescent="0.35">
      <c r="D28" s="89" t="s">
        <v>387</v>
      </c>
    </row>
    <row r="29" spans="4:4" ht="37.5" x14ac:dyDescent="0.35">
      <c r="D29" s="89" t="s">
        <v>1052</v>
      </c>
    </row>
    <row r="30" spans="4:4" x14ac:dyDescent="0.35">
      <c r="D30" s="93" t="s">
        <v>383</v>
      </c>
    </row>
    <row r="31" spans="4:4" x14ac:dyDescent="0.35">
      <c r="D31" s="89" t="s">
        <v>372</v>
      </c>
    </row>
    <row r="48" spans="28:28" x14ac:dyDescent="0.35">
      <c r="AB48" t="s">
        <v>3</v>
      </c>
    </row>
  </sheetData>
  <sortState xmlns:xlrd2="http://schemas.microsoft.com/office/spreadsheetml/2017/richdata2" ref="D2:D49">
    <sortCondition ref="D1:D49"/>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D1190-E756-4FA3-BE26-6547183FD0B1}">
  <dimension ref="A1:I29"/>
  <sheetViews>
    <sheetView workbookViewId="0">
      <selection activeCell="B31" sqref="B31"/>
    </sheetView>
  </sheetViews>
  <sheetFormatPr defaultRowHeight="14.5" x14ac:dyDescent="0.35"/>
  <cols>
    <col min="1" max="1" width="11.1796875" style="146" customWidth="1"/>
    <col min="2" max="2" width="32.26953125" style="146" customWidth="1"/>
    <col min="3" max="3" width="23.81640625" style="146" customWidth="1"/>
    <col min="4" max="4" width="39.1796875" style="146" customWidth="1"/>
    <col min="5" max="5" width="8.7265625" style="146"/>
    <col min="6" max="6" width="8.7265625" style="85"/>
  </cols>
  <sheetData>
    <row r="1" spans="1:9" s="43" customFormat="1" x14ac:dyDescent="0.35">
      <c r="A1" s="150" t="s">
        <v>6</v>
      </c>
      <c r="B1" s="150" t="s">
        <v>1374</v>
      </c>
      <c r="C1" s="150" t="s">
        <v>21</v>
      </c>
      <c r="D1" s="150" t="s">
        <v>1360</v>
      </c>
      <c r="E1" s="150" t="s">
        <v>1373</v>
      </c>
      <c r="F1" s="150"/>
      <c r="G1" s="161"/>
      <c r="H1" s="161"/>
      <c r="I1" s="161"/>
    </row>
    <row r="2" spans="1:9" ht="30" x14ac:dyDescent="0.35">
      <c r="A2" s="146" t="s">
        <v>1375</v>
      </c>
      <c r="B2" s="146" t="s">
        <v>348</v>
      </c>
      <c r="C2" s="146" t="s">
        <v>349</v>
      </c>
      <c r="D2" s="146" t="s">
        <v>1358</v>
      </c>
      <c r="F2" s="146"/>
      <c r="G2" s="68"/>
      <c r="H2" s="68"/>
      <c r="I2" s="68"/>
    </row>
    <row r="3" spans="1:9" ht="60" x14ac:dyDescent="0.35">
      <c r="A3" s="146" t="s">
        <v>1375</v>
      </c>
      <c r="B3" s="146" t="s">
        <v>348</v>
      </c>
      <c r="C3" s="146" t="s">
        <v>350</v>
      </c>
      <c r="D3" s="146" t="s">
        <v>1362</v>
      </c>
      <c r="F3" s="146"/>
      <c r="G3" s="68"/>
      <c r="H3" s="68"/>
      <c r="I3" s="68"/>
    </row>
    <row r="4" spans="1:9" ht="40" x14ac:dyDescent="0.35">
      <c r="A4" s="146" t="s">
        <v>1375</v>
      </c>
      <c r="B4" s="146" t="s">
        <v>351</v>
      </c>
      <c r="C4" s="146" t="s">
        <v>352</v>
      </c>
      <c r="D4" s="146" t="s">
        <v>1366</v>
      </c>
      <c r="F4" s="146"/>
      <c r="G4" s="68"/>
      <c r="H4" s="68"/>
      <c r="I4" s="68"/>
    </row>
    <row r="5" spans="1:9" ht="40" x14ac:dyDescent="0.35">
      <c r="A5" s="146" t="s">
        <v>1375</v>
      </c>
      <c r="B5" s="146" t="s">
        <v>353</v>
      </c>
      <c r="C5" s="146" t="s">
        <v>354</v>
      </c>
      <c r="D5" s="146" t="s">
        <v>1363</v>
      </c>
      <c r="F5" s="146"/>
      <c r="G5" s="68"/>
      <c r="H5" s="68"/>
      <c r="I5" s="68"/>
    </row>
    <row r="6" spans="1:9" ht="20" x14ac:dyDescent="0.35">
      <c r="A6" s="146" t="s">
        <v>1375</v>
      </c>
      <c r="B6" s="146" t="s">
        <v>353</v>
      </c>
      <c r="C6" s="146" t="s">
        <v>355</v>
      </c>
      <c r="D6" s="146" t="s">
        <v>1367</v>
      </c>
      <c r="F6" s="146"/>
      <c r="G6" s="68"/>
      <c r="H6" s="68"/>
      <c r="I6" s="68"/>
    </row>
    <row r="7" spans="1:9" ht="50" x14ac:dyDescent="0.35">
      <c r="A7" s="146" t="s">
        <v>1375</v>
      </c>
      <c r="B7" s="146" t="s">
        <v>353</v>
      </c>
      <c r="C7" s="146" t="s">
        <v>356</v>
      </c>
      <c r="D7" s="146" t="s">
        <v>1370</v>
      </c>
      <c r="F7" s="146"/>
      <c r="G7" s="68"/>
      <c r="H7" s="68"/>
      <c r="I7" s="68"/>
    </row>
    <row r="8" spans="1:9" ht="50" x14ac:dyDescent="0.35">
      <c r="A8" s="146" t="s">
        <v>1375</v>
      </c>
      <c r="B8" s="146" t="s">
        <v>357</v>
      </c>
      <c r="C8" s="146" t="s">
        <v>358</v>
      </c>
      <c r="D8" s="146" t="s">
        <v>1361</v>
      </c>
      <c r="F8" s="146"/>
      <c r="G8" s="68"/>
      <c r="H8" s="68"/>
      <c r="I8" s="68"/>
    </row>
    <row r="9" spans="1:9" ht="30" x14ac:dyDescent="0.35">
      <c r="A9" s="146" t="s">
        <v>1375</v>
      </c>
      <c r="B9" s="146" t="s">
        <v>359</v>
      </c>
      <c r="C9" s="146" t="s">
        <v>360</v>
      </c>
      <c r="D9" s="146" t="s">
        <v>1369</v>
      </c>
      <c r="F9" s="146"/>
      <c r="G9" s="68"/>
      <c r="H9" s="68"/>
      <c r="I9" s="68"/>
    </row>
    <row r="10" spans="1:9" ht="50" x14ac:dyDescent="0.35">
      <c r="A10" s="146" t="s">
        <v>1375</v>
      </c>
      <c r="B10" s="146" t="s">
        <v>359</v>
      </c>
      <c r="C10" s="146" t="s">
        <v>361</v>
      </c>
      <c r="D10" s="146" t="s">
        <v>1371</v>
      </c>
      <c r="E10" s="162" t="s">
        <v>1372</v>
      </c>
      <c r="F10" s="146"/>
      <c r="G10" s="68"/>
      <c r="H10" s="68"/>
      <c r="I10" s="68"/>
    </row>
    <row r="11" spans="1:9" ht="50" x14ac:dyDescent="0.35">
      <c r="A11" s="146" t="s">
        <v>1375</v>
      </c>
      <c r="B11" s="146" t="s">
        <v>362</v>
      </c>
      <c r="C11" s="146" t="s">
        <v>358</v>
      </c>
      <c r="D11" s="146" t="s">
        <v>1361</v>
      </c>
      <c r="F11" s="146"/>
      <c r="G11" s="68"/>
      <c r="H11" s="68"/>
      <c r="I11" s="68"/>
    </row>
    <row r="12" spans="1:9" ht="60" x14ac:dyDescent="0.35">
      <c r="A12" s="146" t="s">
        <v>1375</v>
      </c>
      <c r="B12" s="146" t="s">
        <v>362</v>
      </c>
      <c r="C12" s="146" t="s">
        <v>350</v>
      </c>
      <c r="D12" s="146" t="s">
        <v>1362</v>
      </c>
      <c r="F12" s="146"/>
      <c r="G12" s="68"/>
      <c r="H12" s="68"/>
      <c r="I12" s="68"/>
    </row>
    <row r="13" spans="1:9" ht="50" x14ac:dyDescent="0.35">
      <c r="A13" s="146" t="s">
        <v>1375</v>
      </c>
      <c r="B13" s="146" t="s">
        <v>345</v>
      </c>
      <c r="C13" s="146" t="s">
        <v>146</v>
      </c>
      <c r="D13" s="146" t="s">
        <v>478</v>
      </c>
      <c r="F13" s="146"/>
      <c r="G13" s="68"/>
      <c r="H13" s="68"/>
      <c r="I13" s="68"/>
    </row>
    <row r="14" spans="1:9" ht="50" x14ac:dyDescent="0.35">
      <c r="A14" s="146" t="s">
        <v>1375</v>
      </c>
      <c r="B14" s="146" t="s">
        <v>346</v>
      </c>
      <c r="C14" s="146" t="s">
        <v>146</v>
      </c>
      <c r="D14" s="146" t="s">
        <v>478</v>
      </c>
      <c r="F14" s="146"/>
      <c r="G14" s="68"/>
      <c r="H14" s="68"/>
      <c r="I14" s="68"/>
    </row>
    <row r="15" spans="1:9" ht="50" x14ac:dyDescent="0.35">
      <c r="A15" s="146" t="s">
        <v>1375</v>
      </c>
      <c r="B15" s="146" t="s">
        <v>347</v>
      </c>
      <c r="C15" s="146" t="s">
        <v>146</v>
      </c>
      <c r="D15" s="146" t="s">
        <v>478</v>
      </c>
      <c r="F15" s="146"/>
      <c r="G15" s="68"/>
      <c r="H15" s="68"/>
      <c r="I15" s="68"/>
    </row>
    <row r="16" spans="1:9" ht="50" x14ac:dyDescent="0.35">
      <c r="A16" s="146" t="s">
        <v>1375</v>
      </c>
      <c r="B16" s="146" t="s">
        <v>337</v>
      </c>
      <c r="C16" s="146" t="s">
        <v>363</v>
      </c>
      <c r="D16" s="146" t="s">
        <v>1365</v>
      </c>
      <c r="F16" s="146"/>
      <c r="G16" s="68"/>
      <c r="H16" s="68"/>
      <c r="I16" s="68"/>
    </row>
    <row r="17" spans="1:9" ht="30" x14ac:dyDescent="0.35">
      <c r="A17" s="146" t="s">
        <v>1375</v>
      </c>
      <c r="B17" s="146" t="s">
        <v>337</v>
      </c>
      <c r="C17" s="146" t="s">
        <v>364</v>
      </c>
      <c r="D17" s="146" t="s">
        <v>1368</v>
      </c>
      <c r="F17" s="146"/>
      <c r="G17" s="68"/>
      <c r="H17" s="68"/>
      <c r="I17" s="68"/>
    </row>
    <row r="18" spans="1:9" ht="50" x14ac:dyDescent="0.35">
      <c r="A18" s="146" t="s">
        <v>1375</v>
      </c>
      <c r="B18" s="146" t="s">
        <v>365</v>
      </c>
      <c r="C18" s="146" t="s">
        <v>358</v>
      </c>
      <c r="D18" s="146" t="s">
        <v>1361</v>
      </c>
      <c r="F18" s="146"/>
      <c r="G18" s="68"/>
      <c r="H18" s="68"/>
      <c r="I18" s="68"/>
    </row>
    <row r="19" spans="1:9" ht="60" x14ac:dyDescent="0.35">
      <c r="A19" s="146" t="s">
        <v>1375</v>
      </c>
      <c r="B19" s="146" t="s">
        <v>365</v>
      </c>
      <c r="C19" s="146" t="s">
        <v>350</v>
      </c>
      <c r="D19" s="146" t="s">
        <v>1362</v>
      </c>
      <c r="F19" s="146"/>
      <c r="G19" s="68"/>
      <c r="H19" s="68"/>
      <c r="I19" s="68"/>
    </row>
    <row r="20" spans="1:9" ht="40" x14ac:dyDescent="0.35">
      <c r="A20" s="146" t="s">
        <v>1375</v>
      </c>
      <c r="B20" s="146" t="s">
        <v>365</v>
      </c>
      <c r="C20" s="146" t="s">
        <v>354</v>
      </c>
      <c r="D20" s="146" t="s">
        <v>1363</v>
      </c>
      <c r="F20" s="146"/>
      <c r="G20" s="68"/>
      <c r="H20" s="68"/>
      <c r="I20" s="68"/>
    </row>
    <row r="21" spans="1:9" ht="30" x14ac:dyDescent="0.35">
      <c r="A21" s="146" t="s">
        <v>1375</v>
      </c>
      <c r="B21" s="146" t="s">
        <v>365</v>
      </c>
      <c r="C21" s="146" t="s">
        <v>366</v>
      </c>
      <c r="D21" s="146" t="s">
        <v>1364</v>
      </c>
      <c r="F21" s="146"/>
      <c r="G21" s="68"/>
      <c r="H21" s="68"/>
      <c r="I21" s="68"/>
    </row>
    <row r="22" spans="1:9" ht="50" x14ac:dyDescent="0.35">
      <c r="A22" s="146" t="s">
        <v>1375</v>
      </c>
      <c r="B22" s="146" t="s">
        <v>365</v>
      </c>
      <c r="C22" s="146" t="s">
        <v>356</v>
      </c>
      <c r="D22" s="146" t="s">
        <v>1370</v>
      </c>
      <c r="F22" s="146"/>
      <c r="G22" s="68"/>
      <c r="H22" s="68"/>
      <c r="I22" s="68"/>
    </row>
    <row r="23" spans="1:9" ht="30" x14ac:dyDescent="0.35">
      <c r="A23" s="146" t="s">
        <v>1375</v>
      </c>
      <c r="B23" s="146" t="s">
        <v>365</v>
      </c>
      <c r="C23" s="146" t="s">
        <v>361</v>
      </c>
      <c r="D23" s="146" t="s">
        <v>1371</v>
      </c>
      <c r="F23" s="146"/>
      <c r="G23" s="68"/>
      <c r="H23" s="68"/>
      <c r="I23" s="68"/>
    </row>
    <row r="24" spans="1:9" ht="50" x14ac:dyDescent="0.35">
      <c r="A24" s="146" t="s">
        <v>1375</v>
      </c>
      <c r="B24" s="146" t="s">
        <v>367</v>
      </c>
      <c r="C24" s="146" t="s">
        <v>358</v>
      </c>
      <c r="D24" s="146" t="s">
        <v>1361</v>
      </c>
      <c r="F24" s="146"/>
      <c r="G24" s="68"/>
      <c r="H24" s="68"/>
      <c r="I24" s="68"/>
    </row>
    <row r="25" spans="1:9" ht="60" x14ac:dyDescent="0.35">
      <c r="A25" s="146" t="s">
        <v>1375</v>
      </c>
      <c r="B25" s="146" t="s">
        <v>367</v>
      </c>
      <c r="C25" s="146" t="s">
        <v>350</v>
      </c>
      <c r="D25" s="146" t="s">
        <v>1362</v>
      </c>
      <c r="F25" s="146"/>
      <c r="G25" s="68"/>
      <c r="H25" s="68"/>
      <c r="I25" s="68"/>
    </row>
    <row r="26" spans="1:9" ht="40" x14ac:dyDescent="0.35">
      <c r="A26" s="146" t="s">
        <v>1375</v>
      </c>
      <c r="B26" s="146" t="s">
        <v>367</v>
      </c>
      <c r="C26" s="146" t="s">
        <v>354</v>
      </c>
      <c r="D26" s="146" t="s">
        <v>1363</v>
      </c>
      <c r="F26" s="146"/>
      <c r="G26" s="68"/>
      <c r="H26" s="68"/>
      <c r="I26" s="68"/>
    </row>
    <row r="27" spans="1:9" ht="20" x14ac:dyDescent="0.35">
      <c r="A27" s="146" t="s">
        <v>1375</v>
      </c>
      <c r="B27" s="146" t="s">
        <v>367</v>
      </c>
      <c r="C27" s="146" t="s">
        <v>355</v>
      </c>
      <c r="D27" s="146" t="s">
        <v>1367</v>
      </c>
      <c r="F27" s="146"/>
      <c r="G27" s="68"/>
      <c r="H27" s="68"/>
      <c r="I27" s="68"/>
    </row>
    <row r="28" spans="1:9" ht="50" x14ac:dyDescent="0.35">
      <c r="A28" s="146" t="s">
        <v>1376</v>
      </c>
      <c r="B28" s="146" t="s">
        <v>1376</v>
      </c>
      <c r="C28" s="146" t="s">
        <v>1378</v>
      </c>
      <c r="D28" s="146" t="s">
        <v>1377</v>
      </c>
    </row>
    <row r="29" spans="1:9" ht="40" x14ac:dyDescent="0.35">
      <c r="A29" s="146" t="s">
        <v>144</v>
      </c>
      <c r="B29" s="146" t="s">
        <v>1381</v>
      </c>
      <c r="C29" s="146" t="s">
        <v>1380</v>
      </c>
      <c r="D29" s="146" t="s">
        <v>1379</v>
      </c>
    </row>
  </sheetData>
  <sortState xmlns:xlrd2="http://schemas.microsoft.com/office/spreadsheetml/2017/richdata2" ref="A2:F27">
    <sortCondition ref="B2:B27"/>
  </sortState>
  <hyperlinks>
    <hyperlink ref="E10" r:id="rId1" display="https://qmro.qmul.ac.uk/xmlui/handle/123456789/1636" xr:uid="{82AA117C-1DE7-49FB-BF24-5221E15ACC8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1</vt:lpstr>
      <vt:lpstr>2</vt:lpstr>
      <vt:lpstr>3</vt:lpstr>
      <vt:lpstr>4</vt:lpstr>
      <vt:lpstr>5</vt:lpstr>
      <vt:lpstr>6</vt:lpstr>
      <vt:lpstr>7</vt:lpstr>
      <vt:lpstr>8</vt:lpstr>
      <vt:lpstr>9</vt:lpstr>
      <vt:lpstr>10</vt:lpstr>
    </vt:vector>
  </TitlesOfParts>
  <Manager/>
  <Company>Brunel University London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 Reiss (Staff)</dc:creator>
  <cp:keywords/>
  <dc:description/>
  <cp:lastModifiedBy>Julia Reiss (Staff)</cp:lastModifiedBy>
  <cp:revision/>
  <cp:lastPrinted>2026-06-05T10:17:49Z</cp:lastPrinted>
  <dcterms:created xsi:type="dcterms:W3CDTF">2024-09-17T12:59:19Z</dcterms:created>
  <dcterms:modified xsi:type="dcterms:W3CDTF">2026-10-23T14:02:55Z</dcterms:modified>
  <cp:category/>
  <cp:contentStatus/>
</cp:coreProperties>
</file>