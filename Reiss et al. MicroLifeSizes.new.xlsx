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brunel365-my.sharepoint.com/personal/bjrp001_brunel_ac_uk/Documents/Manuscripts and projects in prep/Reiss et al. body size manual/Data and codes/"/>
    </mc:Choice>
  </mc:AlternateContent>
  <xr:revisionPtr revIDLastSave="2569" documentId="8_{C32B8FA7-B012-4E2E-9766-2CE72372D640}" xr6:coauthVersionLast="47" xr6:coauthVersionMax="47" xr10:uidLastSave="{100DB80E-5EA6-49E3-8E4C-F0E27DDA79D2}"/>
  <bookViews>
    <workbookView xWindow="-110" yWindow="-110" windowWidth="19420" windowHeight="10300" tabRatio="655" firstSheet="1" activeTab="5" xr2:uid="{26930AD6-AEBF-432A-8C88-5F93A7808D22}"/>
  </bookViews>
  <sheets>
    <sheet name="readme" sheetId="17" r:id="rId1"/>
    <sheet name="1a" sheetId="12" r:id="rId2"/>
    <sheet name="1b" sheetId="23" r:id="rId3"/>
    <sheet name="2" sheetId="4" r:id="rId4"/>
    <sheet name="3" sheetId="2" r:id="rId5"/>
    <sheet name="4" sheetId="14" r:id="rId6"/>
    <sheet name="5" sheetId="15" r:id="rId7"/>
    <sheet name="6" sheetId="21" r:id="rId8"/>
    <sheet name="7" sheetId="27" r:id="rId9"/>
    <sheet name="8 glossary" sheetId="18" r:id="rId10"/>
    <sheet name="9 fig. 1" sheetId="26" r:id="rId11"/>
    <sheet name="10_Dan" sheetId="29" r:id="rId12"/>
    <sheet name="10 fig. 2" sheetId="20" r:id="rId13"/>
    <sheet name="10 data excluded from 1a" sheetId="25" r:id="rId14"/>
    <sheet name="Dumont et al. 1974" sheetId="28" r:id="rId15"/>
  </sheets>
  <calcPr calcId="191028"/>
  <pivotCaches>
    <pivotCache cacheId="0"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4" l="1"/>
  <c r="J7" i="14" s="1"/>
  <c r="D7" i="14"/>
  <c r="U3" i="20"/>
  <c r="AA13" i="15"/>
  <c r="I13" i="15"/>
  <c r="C2" i="29"/>
  <c r="H13" i="15"/>
  <c r="X23" i="15"/>
  <c r="T3" i="12"/>
  <c r="T2" i="12"/>
  <c r="R29" i="15"/>
  <c r="T29" i="15" s="1"/>
  <c r="U29" i="15" s="1"/>
  <c r="V29" i="15" s="1"/>
  <c r="E2" i="20"/>
  <c r="E20" i="20" s="1"/>
  <c r="F20" i="20" s="1"/>
  <c r="P21" i="20"/>
  <c r="P20" i="20"/>
  <c r="P19" i="20"/>
  <c r="E19" i="20"/>
  <c r="F19" i="20" s="1"/>
  <c r="P18" i="20"/>
  <c r="E18" i="20"/>
  <c r="F18" i="20" s="1"/>
  <c r="P17" i="20"/>
  <c r="E17" i="20"/>
  <c r="F17" i="20" s="1"/>
  <c r="G17" i="20" s="1"/>
  <c r="T17" i="20" s="1"/>
  <c r="P16" i="20"/>
  <c r="E16" i="20"/>
  <c r="F16" i="20" s="1"/>
  <c r="P15" i="20"/>
  <c r="E15" i="20"/>
  <c r="F15" i="20" s="1"/>
  <c r="P14" i="20"/>
  <c r="E14" i="20"/>
  <c r="F14" i="20" s="1"/>
  <c r="P13" i="20"/>
  <c r="E13" i="20"/>
  <c r="F13" i="20" s="1"/>
  <c r="P12" i="20"/>
  <c r="E12" i="20"/>
  <c r="F12" i="20" s="1"/>
  <c r="P11" i="20"/>
  <c r="P10" i="20"/>
  <c r="P9" i="20"/>
  <c r="E9" i="20"/>
  <c r="P8" i="20"/>
  <c r="E8" i="20"/>
  <c r="F8" i="20" s="1"/>
  <c r="P7" i="20"/>
  <c r="E7" i="20"/>
  <c r="F7" i="20" s="1"/>
  <c r="P6" i="20"/>
  <c r="E6" i="20"/>
  <c r="F6" i="20" s="1"/>
  <c r="P5" i="20"/>
  <c r="E5" i="20"/>
  <c r="F5" i="20" s="1"/>
  <c r="G5" i="20" s="1"/>
  <c r="T5" i="20" s="1"/>
  <c r="P4" i="20"/>
  <c r="E4" i="20"/>
  <c r="F4" i="20" s="1"/>
  <c r="P3" i="20"/>
  <c r="E3" i="20"/>
  <c r="F3" i="20" s="1"/>
  <c r="P2" i="20"/>
  <c r="V33" i="20"/>
  <c r="V32" i="20"/>
  <c r="U34" i="20"/>
  <c r="U33" i="20"/>
  <c r="T33" i="20"/>
  <c r="U32" i="20"/>
  <c r="T32" i="20"/>
  <c r="Q32" i="20"/>
  <c r="P32" i="20"/>
  <c r="O32" i="20"/>
  <c r="V34" i="20"/>
  <c r="T34" i="20"/>
  <c r="N7" i="14" l="1"/>
  <c r="K7" i="14"/>
  <c r="L7" i="14" s="1"/>
  <c r="M7" i="14" s="1"/>
  <c r="O7" i="14" s="1"/>
  <c r="F9" i="20"/>
  <c r="E11" i="20"/>
  <c r="F11" i="20" s="1"/>
  <c r="S29" i="15"/>
  <c r="I12" i="20"/>
  <c r="V12" i="20" s="1"/>
  <c r="W12" i="20" s="1"/>
  <c r="H12" i="20"/>
  <c r="U12" i="20" s="1"/>
  <c r="G12" i="20"/>
  <c r="T12" i="20" s="1"/>
  <c r="I5" i="20"/>
  <c r="V5" i="20" s="1"/>
  <c r="W5" i="20" s="1"/>
  <c r="E21" i="20"/>
  <c r="F21" i="20" s="1"/>
  <c r="G20" i="20"/>
  <c r="T20" i="20" s="1"/>
  <c r="H20" i="20"/>
  <c r="U20" i="20" s="1"/>
  <c r="I14" i="20"/>
  <c r="V14" i="20" s="1"/>
  <c r="W14" i="20" s="1"/>
  <c r="H14" i="20"/>
  <c r="U14" i="20" s="1"/>
  <c r="G14" i="20"/>
  <c r="T14" i="20" s="1"/>
  <c r="I20" i="20"/>
  <c r="V20" i="20" s="1"/>
  <c r="W20" i="20" s="1"/>
  <c r="G21" i="20"/>
  <c r="T21" i="20" s="1"/>
  <c r="I21" i="20"/>
  <c r="V21" i="20" s="1"/>
  <c r="W21" i="20" s="1"/>
  <c r="H21" i="20"/>
  <c r="U21" i="20" s="1"/>
  <c r="H15" i="20"/>
  <c r="U15" i="20" s="1"/>
  <c r="G15" i="20"/>
  <c r="T15" i="20" s="1"/>
  <c r="I15" i="20"/>
  <c r="V15" i="20" s="1"/>
  <c r="W15" i="20" s="1"/>
  <c r="H16" i="20"/>
  <c r="U16" i="20" s="1"/>
  <c r="G16" i="20"/>
  <c r="T16" i="20" s="1"/>
  <c r="I16" i="20"/>
  <c r="V16" i="20" s="1"/>
  <c r="W16" i="20" s="1"/>
  <c r="G18" i="20"/>
  <c r="T18" i="20" s="1"/>
  <c r="I18" i="20"/>
  <c r="V18" i="20" s="1"/>
  <c r="W18" i="20" s="1"/>
  <c r="H18" i="20"/>
  <c r="U18" i="20" s="1"/>
  <c r="X12" i="20"/>
  <c r="J12" i="20"/>
  <c r="I19" i="20"/>
  <c r="V19" i="20" s="1"/>
  <c r="W19" i="20" s="1"/>
  <c r="H19" i="20"/>
  <c r="U19" i="20" s="1"/>
  <c r="G19" i="20"/>
  <c r="T19" i="20" s="1"/>
  <c r="I13" i="20"/>
  <c r="V13" i="20" s="1"/>
  <c r="W13" i="20" s="1"/>
  <c r="H13" i="20"/>
  <c r="U13" i="20" s="1"/>
  <c r="G13" i="20"/>
  <c r="T13" i="20" s="1"/>
  <c r="H17" i="20"/>
  <c r="U17" i="20" s="1"/>
  <c r="I17" i="20"/>
  <c r="V17" i="20" s="1"/>
  <c r="W17" i="20" s="1"/>
  <c r="J5" i="20"/>
  <c r="I6" i="20"/>
  <c r="V6" i="20" s="1"/>
  <c r="W6" i="20" s="1"/>
  <c r="H6" i="20"/>
  <c r="U6" i="20" s="1"/>
  <c r="G6" i="20"/>
  <c r="T6" i="20" s="1"/>
  <c r="I7" i="20"/>
  <c r="V7" i="20" s="1"/>
  <c r="W7" i="20" s="1"/>
  <c r="H7" i="20"/>
  <c r="U7" i="20" s="1"/>
  <c r="G7" i="20"/>
  <c r="T7" i="20" s="1"/>
  <c r="I3" i="20"/>
  <c r="V3" i="20" s="1"/>
  <c r="W3" i="20" s="1"/>
  <c r="H3" i="20"/>
  <c r="G3" i="20"/>
  <c r="T3" i="20" s="1"/>
  <c r="I11" i="20"/>
  <c r="V11" i="20" s="1"/>
  <c r="W11" i="20" s="1"/>
  <c r="H11" i="20"/>
  <c r="U11" i="20" s="1"/>
  <c r="G11" i="20"/>
  <c r="T11" i="20" s="1"/>
  <c r="H9" i="20"/>
  <c r="U9" i="20" s="1"/>
  <c r="G9" i="20"/>
  <c r="T9" i="20" s="1"/>
  <c r="H4" i="20"/>
  <c r="U4" i="20" s="1"/>
  <c r="G4" i="20"/>
  <c r="T4" i="20" s="1"/>
  <c r="I4" i="20"/>
  <c r="V4" i="20" s="1"/>
  <c r="W4" i="20" s="1"/>
  <c r="I9" i="20"/>
  <c r="V9" i="20" s="1"/>
  <c r="W9" i="20" s="1"/>
  <c r="H8" i="20"/>
  <c r="U8" i="20" s="1"/>
  <c r="G8" i="20"/>
  <c r="T8" i="20" s="1"/>
  <c r="I8" i="20"/>
  <c r="V8" i="20" s="1"/>
  <c r="W8" i="20" s="1"/>
  <c r="E10" i="20"/>
  <c r="F10" i="20" s="1"/>
  <c r="H5" i="20"/>
  <c r="U5" i="20" s="1"/>
  <c r="F2" i="20"/>
  <c r="S5" i="14"/>
  <c r="D12" i="14"/>
  <c r="I12" i="14"/>
  <c r="J12" i="14" s="1"/>
  <c r="I10" i="14"/>
  <c r="J10" i="14" s="1"/>
  <c r="I11" i="14"/>
  <c r="J11" i="14" s="1"/>
  <c r="I13" i="14"/>
  <c r="J13" i="14" s="1"/>
  <c r="T20" i="15"/>
  <c r="U20" i="15" s="1"/>
  <c r="X20" i="15" s="1"/>
  <c r="S20" i="15"/>
  <c r="S7" i="15"/>
  <c r="T7" i="15"/>
  <c r="U7" i="15" s="1"/>
  <c r="X7" i="15" s="1"/>
  <c r="H27" i="15"/>
  <c r="H38" i="15"/>
  <c r="H39" i="15"/>
  <c r="H41" i="15"/>
  <c r="H42" i="15"/>
  <c r="H43" i="15"/>
  <c r="H44" i="15"/>
  <c r="H47"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R32" i="15"/>
  <c r="T32" i="15" s="1"/>
  <c r="U32" i="15" s="1"/>
  <c r="X32" i="15" s="1"/>
  <c r="T50" i="15"/>
  <c r="V42" i="15"/>
  <c r="V43" i="15"/>
  <c r="V41" i="15"/>
  <c r="Q38" i="15"/>
  <c r="V38" i="15" s="1"/>
  <c r="O12" i="15"/>
  <c r="T18" i="15"/>
  <c r="S18" i="15"/>
  <c r="O18" i="15"/>
  <c r="S16" i="15"/>
  <c r="AC16" i="15" s="1"/>
  <c r="AB16" i="15" s="1"/>
  <c r="W16" i="15" s="1"/>
  <c r="X16" i="15" s="1"/>
  <c r="H16" i="15" s="1"/>
  <c r="R49" i="15"/>
  <c r="T49" i="15" s="1"/>
  <c r="U49" i="15" s="1"/>
  <c r="V49" i="15" s="1"/>
  <c r="W49" i="15" s="1"/>
  <c r="X49" i="15" s="1"/>
  <c r="H49" i="15" s="1"/>
  <c r="R48" i="15"/>
  <c r="T48" i="15" s="1"/>
  <c r="U48" i="15" s="1"/>
  <c r="V48" i="15" s="1"/>
  <c r="W48" i="15" s="1"/>
  <c r="X48" i="15" s="1"/>
  <c r="H48" i="15" s="1"/>
  <c r="R47" i="15"/>
  <c r="S47" i="15" s="1"/>
  <c r="I47" i="15" s="1"/>
  <c r="R46" i="15"/>
  <c r="T46" i="15" s="1"/>
  <c r="U46" i="15" s="1"/>
  <c r="V46" i="15" s="1"/>
  <c r="W46" i="15" s="1"/>
  <c r="X46" i="15" s="1"/>
  <c r="H46" i="15" s="1"/>
  <c r="R45" i="15"/>
  <c r="T45" i="15" s="1"/>
  <c r="U45" i="15" s="1"/>
  <c r="V45" i="15" s="1"/>
  <c r="W45" i="15" s="1"/>
  <c r="X45" i="15" s="1"/>
  <c r="H45" i="15" s="1"/>
  <c r="R44" i="15"/>
  <c r="T44" i="15" s="1"/>
  <c r="U44" i="15" s="1"/>
  <c r="V44" i="15" s="1"/>
  <c r="R40" i="15"/>
  <c r="T40" i="15" s="1"/>
  <c r="U40" i="15" s="1"/>
  <c r="V40" i="15" s="1"/>
  <c r="W40" i="15" s="1"/>
  <c r="X40" i="15" s="1"/>
  <c r="H40" i="15" s="1"/>
  <c r="R37" i="15"/>
  <c r="T37" i="15" s="1"/>
  <c r="U37" i="15" s="1"/>
  <c r="V37" i="15" s="1"/>
  <c r="W37" i="15" s="1"/>
  <c r="X37" i="15" s="1"/>
  <c r="H37" i="15" s="1"/>
  <c r="R36" i="15"/>
  <c r="T36" i="15" s="1"/>
  <c r="U36" i="15" s="1"/>
  <c r="V36" i="15" s="1"/>
  <c r="W36" i="15" s="1"/>
  <c r="X36" i="15" s="1"/>
  <c r="H36" i="15" s="1"/>
  <c r="R35" i="15"/>
  <c r="T35" i="15" s="1"/>
  <c r="U35" i="15" s="1"/>
  <c r="V35" i="15" s="1"/>
  <c r="W35" i="15" s="1"/>
  <c r="X35" i="15" s="1"/>
  <c r="H35" i="15" s="1"/>
  <c r="R34" i="15"/>
  <c r="S34" i="15" s="1"/>
  <c r="R28" i="15"/>
  <c r="R26" i="15"/>
  <c r="T26" i="15" s="1"/>
  <c r="R25" i="15"/>
  <c r="S25" i="15" s="1"/>
  <c r="R24" i="15"/>
  <c r="T24" i="15" s="1"/>
  <c r="R22" i="15"/>
  <c r="S22" i="15" s="1"/>
  <c r="C9" i="21"/>
  <c r="C14" i="21" s="1"/>
  <c r="C8" i="21"/>
  <c r="C11" i="27"/>
  <c r="H44" i="12"/>
  <c r="L43" i="12"/>
  <c r="L45" i="12"/>
  <c r="L42" i="12"/>
  <c r="V44" i="12"/>
  <c r="L44" i="12" s="1"/>
  <c r="S17" i="15"/>
  <c r="AA17" i="15" s="1"/>
  <c r="V17" i="15" s="1"/>
  <c r="W17" i="15" s="1"/>
  <c r="S19" i="15"/>
  <c r="AD19" i="15" s="1"/>
  <c r="X19" i="15" s="1"/>
  <c r="H19" i="15" s="1"/>
  <c r="S15" i="15"/>
  <c r="AB15" i="15" s="1"/>
  <c r="W15" i="15" s="1"/>
  <c r="X15" i="15" s="1"/>
  <c r="H15" i="15" s="1"/>
  <c r="S14" i="15"/>
  <c r="AB14" i="15" s="1"/>
  <c r="W14" i="15" s="1"/>
  <c r="X14" i="15" s="1"/>
  <c r="H14" i="15" s="1"/>
  <c r="S12" i="15"/>
  <c r="S11" i="15"/>
  <c r="AB11" i="15" s="1"/>
  <c r="W11" i="15" s="1"/>
  <c r="X11" i="15" s="1"/>
  <c r="H11" i="15" s="1"/>
  <c r="S9" i="15"/>
  <c r="L30" i="12"/>
  <c r="T30" i="12" s="1"/>
  <c r="L29" i="12"/>
  <c r="T29" i="12" s="1"/>
  <c r="K30" i="12"/>
  <c r="R30" i="12" s="1"/>
  <c r="K29" i="12"/>
  <c r="R29" i="12" s="1"/>
  <c r="K26" i="12"/>
  <c r="L26" i="12" s="1"/>
  <c r="K25" i="12"/>
  <c r="R25" i="12" s="1"/>
  <c r="T25" i="12" s="1"/>
  <c r="D9" i="14"/>
  <c r="I9" i="14"/>
  <c r="J9" i="14" s="1"/>
  <c r="D5" i="14"/>
  <c r="D6" i="14"/>
  <c r="D8" i="14"/>
  <c r="D13" i="14"/>
  <c r="D10" i="14"/>
  <c r="D11" i="14"/>
  <c r="I8" i="14"/>
  <c r="J8" i="14" s="1"/>
  <c r="I6" i="14"/>
  <c r="J6" i="14" s="1"/>
  <c r="I5" i="14"/>
  <c r="J5" i="14" s="1"/>
  <c r="K5" i="14" s="1"/>
  <c r="L5" i="14" s="1"/>
  <c r="M5" i="14" s="1"/>
  <c r="S46" i="12"/>
  <c r="S62" i="12"/>
  <c r="S61" i="12"/>
  <c r="G13" i="12"/>
  <c r="S13" i="12" s="1"/>
  <c r="S5" i="12"/>
  <c r="T21" i="12"/>
  <c r="L21" i="12" s="1"/>
  <c r="T16" i="12"/>
  <c r="T9" i="12"/>
  <c r="T6" i="12"/>
  <c r="L6" i="12" s="1"/>
  <c r="Q33" i="20"/>
  <c r="P33" i="20"/>
  <c r="O33" i="20"/>
  <c r="P22" i="12"/>
  <c r="I20" i="12"/>
  <c r="N20" i="12" s="1"/>
  <c r="I22" i="12"/>
  <c r="N22" i="12" s="1"/>
  <c r="S20" i="12"/>
  <c r="S17" i="12"/>
  <c r="T22" i="12"/>
  <c r="T23" i="12"/>
  <c r="P23" i="12"/>
  <c r="G32" i="26"/>
  <c r="G31" i="26"/>
  <c r="G30" i="26"/>
  <c r="G29" i="26"/>
  <c r="G28" i="26"/>
  <c r="G27" i="26"/>
  <c r="G26" i="26"/>
  <c r="E24" i="26"/>
  <c r="E23" i="26"/>
  <c r="E22" i="26"/>
  <c r="E21" i="26"/>
  <c r="E20" i="26"/>
  <c r="E19" i="26"/>
  <c r="E18" i="26"/>
  <c r="E17" i="26"/>
  <c r="E16" i="26"/>
  <c r="E15" i="26"/>
  <c r="E14" i="26"/>
  <c r="G11" i="26"/>
  <c r="G10" i="26"/>
  <c r="G9" i="26"/>
  <c r="G8" i="26"/>
  <c r="G7" i="26"/>
  <c r="E6" i="26"/>
  <c r="G4" i="26"/>
  <c r="G3" i="26"/>
  <c r="R13" i="12"/>
  <c r="P13" i="25"/>
  <c r="X13" i="25"/>
  <c r="O13" i="25"/>
  <c r="N13" i="25"/>
  <c r="P12" i="25"/>
  <c r="X12" i="25"/>
  <c r="O12" i="25"/>
  <c r="N12" i="25"/>
  <c r="P11" i="25"/>
  <c r="X11" i="25"/>
  <c r="O11" i="25"/>
  <c r="N11" i="25"/>
  <c r="P10" i="25"/>
  <c r="X10" i="25"/>
  <c r="O10" i="25"/>
  <c r="N10" i="25"/>
  <c r="T63" i="12"/>
  <c r="S85" i="12"/>
  <c r="S84" i="12"/>
  <c r="Q83" i="12"/>
  <c r="Q82" i="12"/>
  <c r="Q81" i="12"/>
  <c r="Q80" i="12"/>
  <c r="Q79" i="12"/>
  <c r="Q78" i="12"/>
  <c r="S78" i="12"/>
  <c r="X9" i="25"/>
  <c r="P9" i="25"/>
  <c r="M9" i="25"/>
  <c r="K8" i="25"/>
  <c r="W8" i="25"/>
  <c r="K7" i="25"/>
  <c r="W7" i="25"/>
  <c r="K6" i="25"/>
  <c r="W6" i="25"/>
  <c r="Z5" i="25"/>
  <c r="K5" i="25"/>
  <c r="W5" i="25"/>
  <c r="Z4" i="25"/>
  <c r="K4" i="25"/>
  <c r="W4" i="25"/>
  <c r="K3" i="25"/>
  <c r="W3" i="25"/>
  <c r="K2" i="25"/>
  <c r="W2" i="25"/>
  <c r="Q90" i="12"/>
  <c r="Q88" i="12"/>
  <c r="S15" i="12"/>
  <c r="X4" i="15"/>
  <c r="H4" i="15" s="1"/>
  <c r="Q21" i="4"/>
  <c r="P34" i="20"/>
  <c r="Q34" i="20"/>
  <c r="O34" i="20"/>
  <c r="X10" i="15"/>
  <c r="H10" i="15" s="1"/>
  <c r="T19" i="15"/>
  <c r="U19" i="15" s="1"/>
  <c r="V19" i="15" s="1"/>
  <c r="T9" i="15"/>
  <c r="U9" i="15" s="1"/>
  <c r="V9" i="15" s="1"/>
  <c r="W9" i="15" s="1"/>
  <c r="T12" i="15"/>
  <c r="AK52" i="15"/>
  <c r="V52" i="15" s="1"/>
  <c r="AK53" i="15"/>
  <c r="V53" i="15" s="1"/>
  <c r="AK54" i="15"/>
  <c r="V54" i="15" s="1"/>
  <c r="G4" i="12"/>
  <c r="S4" i="12" s="1"/>
  <c r="T87" i="12"/>
  <c r="T86" i="12"/>
  <c r="S83" i="12"/>
  <c r="S80" i="12"/>
  <c r="S82" i="12"/>
  <c r="S79" i="12"/>
  <c r="S81" i="12"/>
  <c r="T68" i="12"/>
  <c r="T67" i="12"/>
  <c r="T74" i="12"/>
  <c r="L74" i="12" s="1"/>
  <c r="T73" i="12"/>
  <c r="L73" i="12" s="1"/>
  <c r="T72" i="12"/>
  <c r="L72" i="12" s="1"/>
  <c r="T71" i="12"/>
  <c r="L71" i="12" s="1"/>
  <c r="T75" i="12"/>
  <c r="L75" i="12" s="1"/>
  <c r="T70" i="12"/>
  <c r="L70" i="12" s="1"/>
  <c r="T69" i="12"/>
  <c r="L69" i="12" s="1"/>
  <c r="T77" i="12"/>
  <c r="L77" i="12" s="1"/>
  <c r="T76" i="12"/>
  <c r="L76" i="12" s="1"/>
  <c r="Q65" i="12"/>
  <c r="J65" i="12" s="1"/>
  <c r="N65" i="12"/>
  <c r="I65" i="12" s="1"/>
  <c r="T66" i="12"/>
  <c r="T64" i="12"/>
  <c r="S64" i="12"/>
  <c r="S63" i="12"/>
  <c r="I55" i="12"/>
  <c r="L60" i="12"/>
  <c r="N59" i="12"/>
  <c r="I59" i="12" s="1"/>
  <c r="N58" i="12"/>
  <c r="I58" i="12" s="1"/>
  <c r="N57" i="12"/>
  <c r="I57" i="12" s="1"/>
  <c r="N54" i="12"/>
  <c r="I54" i="12"/>
  <c r="N53" i="12"/>
  <c r="I53" i="12" s="1"/>
  <c r="T56" i="12"/>
  <c r="L56" i="12" s="1"/>
  <c r="T52" i="12"/>
  <c r="S52" i="12"/>
  <c r="I52" i="12"/>
  <c r="M51" i="12"/>
  <c r="G51" i="12" s="1"/>
  <c r="S51" i="12" s="1"/>
  <c r="M50" i="12"/>
  <c r="G50" i="12" s="1"/>
  <c r="S50" i="12" s="1"/>
  <c r="T49" i="12"/>
  <c r="S49" i="12"/>
  <c r="I49" i="12"/>
  <c r="M48" i="12"/>
  <c r="G48" i="12" s="1"/>
  <c r="S48" i="12" s="1"/>
  <c r="M47" i="12"/>
  <c r="G47" i="12" s="1"/>
  <c r="S47" i="12" s="1"/>
  <c r="I27" i="12"/>
  <c r="J24" i="12"/>
  <c r="T31" i="12"/>
  <c r="L31" i="12" s="1"/>
  <c r="I32" i="12"/>
  <c r="N32" i="12" s="1"/>
  <c r="T36" i="12"/>
  <c r="L36" i="12" s="1"/>
  <c r="T35" i="12"/>
  <c r="L35" i="12" s="1"/>
  <c r="T34" i="12"/>
  <c r="L34" i="12" s="1"/>
  <c r="T33" i="12"/>
  <c r="L33" i="12" s="1"/>
  <c r="T28" i="12"/>
  <c r="L28" i="12" s="1"/>
  <c r="I23" i="12"/>
  <c r="N23" i="12"/>
  <c r="M19" i="12"/>
  <c r="G19" i="12" s="1"/>
  <c r="S19" i="12" s="1"/>
  <c r="M18" i="12"/>
  <c r="G18" i="12" s="1"/>
  <c r="S18" i="12" s="1"/>
  <c r="M16" i="12"/>
  <c r="M14" i="12"/>
  <c r="G14" i="12" s="1"/>
  <c r="S14" i="12" s="1"/>
  <c r="J12" i="12"/>
  <c r="G11" i="12"/>
  <c r="S11" i="12" s="1"/>
  <c r="G10" i="12"/>
  <c r="S10" i="12" s="1"/>
  <c r="G9" i="12"/>
  <c r="S9" i="12" s="1"/>
  <c r="T8" i="12"/>
  <c r="G8" i="12"/>
  <c r="S8" i="12"/>
  <c r="S7" i="12"/>
  <c r="M7" i="12"/>
  <c r="L7" i="12"/>
  <c r="G6" i="12"/>
  <c r="S6" i="12" s="1"/>
  <c r="AA14" i="4"/>
  <c r="AA6" i="4"/>
  <c r="AA19" i="4"/>
  <c r="AA18" i="4"/>
  <c r="AA17" i="4"/>
  <c r="AA16" i="4"/>
  <c r="AA15" i="4"/>
  <c r="AA13" i="4"/>
  <c r="AA12" i="4"/>
  <c r="AA7" i="4"/>
  <c r="AA8" i="4"/>
  <c r="AA9" i="4"/>
  <c r="AA10" i="4"/>
  <c r="AA11" i="4"/>
  <c r="I17" i="4"/>
  <c r="I18" i="4"/>
  <c r="N17" i="4"/>
  <c r="N18" i="4"/>
  <c r="N19" i="4"/>
  <c r="X16" i="4"/>
  <c r="I7" i="4"/>
  <c r="N7" i="4"/>
  <c r="N8" i="4"/>
  <c r="N9" i="4"/>
  <c r="N10" i="4"/>
  <c r="N11" i="4"/>
  <c r="N12" i="4"/>
  <c r="N13" i="4"/>
  <c r="N14" i="4"/>
  <c r="M4" i="2"/>
  <c r="M5" i="2"/>
  <c r="J5" i="2"/>
  <c r="J8" i="2"/>
  <c r="M8" i="2"/>
  <c r="M11" i="2"/>
  <c r="J11" i="2"/>
  <c r="I8" i="4"/>
  <c r="X7" i="4"/>
  <c r="I9" i="4"/>
  <c r="X8" i="4"/>
  <c r="X18" i="4"/>
  <c r="I19" i="4"/>
  <c r="X19" i="4"/>
  <c r="X17" i="4"/>
  <c r="X9" i="4"/>
  <c r="I10" i="4"/>
  <c r="I11" i="4"/>
  <c r="X10" i="4"/>
  <c r="I12" i="4"/>
  <c r="X11" i="4"/>
  <c r="X12" i="4"/>
  <c r="I13" i="4"/>
  <c r="X13" i="4"/>
  <c r="I14" i="4"/>
  <c r="K11" i="14" l="1"/>
  <c r="L11" i="14" s="1"/>
  <c r="M11" i="14" s="1"/>
  <c r="O11" i="14" s="1"/>
  <c r="N11" i="14"/>
  <c r="K8" i="14"/>
  <c r="L8" i="14" s="1"/>
  <c r="M8" i="14" s="1"/>
  <c r="O8" i="14" s="1"/>
  <c r="N8" i="14"/>
  <c r="K10" i="14"/>
  <c r="L10" i="14" s="1"/>
  <c r="M10" i="14" s="1"/>
  <c r="O10" i="14" s="1"/>
  <c r="N10" i="14"/>
  <c r="K9" i="14"/>
  <c r="L9" i="14" s="1"/>
  <c r="M9" i="14" s="1"/>
  <c r="O9" i="14" s="1"/>
  <c r="N9" i="14"/>
  <c r="N12" i="14"/>
  <c r="K12" i="14"/>
  <c r="L12" i="14" s="1"/>
  <c r="M12" i="14" s="1"/>
  <c r="O12" i="14" s="1"/>
  <c r="K13" i="14"/>
  <c r="L13" i="14" s="1"/>
  <c r="M13" i="14" s="1"/>
  <c r="O13" i="14" s="1"/>
  <c r="N13" i="14"/>
  <c r="K6" i="14"/>
  <c r="L6" i="14" s="1"/>
  <c r="M6" i="14" s="1"/>
  <c r="O6" i="14" s="1"/>
  <c r="N6" i="14"/>
  <c r="N5" i="14"/>
  <c r="T28" i="15"/>
  <c r="S28" i="15"/>
  <c r="H7" i="15"/>
  <c r="I7" i="15"/>
  <c r="X5" i="20"/>
  <c r="J17" i="20"/>
  <c r="X17" i="20"/>
  <c r="J20" i="20"/>
  <c r="X20" i="20"/>
  <c r="J18" i="20"/>
  <c r="X18" i="20"/>
  <c r="J14" i="20"/>
  <c r="X14" i="20"/>
  <c r="X16" i="20"/>
  <c r="J16" i="20"/>
  <c r="J15" i="20"/>
  <c r="X15" i="20"/>
  <c r="X13" i="20"/>
  <c r="J13" i="20"/>
  <c r="Q12" i="20" s="1"/>
  <c r="T35" i="20" s="1"/>
  <c r="X21" i="20"/>
  <c r="J21" i="20"/>
  <c r="X19" i="20"/>
  <c r="J19" i="20"/>
  <c r="Q13" i="20"/>
  <c r="K12" i="20"/>
  <c r="Y12" i="20"/>
  <c r="L12" i="20" s="1"/>
  <c r="Y5" i="20"/>
  <c r="L5" i="20" s="1"/>
  <c r="K5" i="20"/>
  <c r="I2" i="20"/>
  <c r="V2" i="20" s="1"/>
  <c r="W2" i="20" s="1"/>
  <c r="H2" i="20"/>
  <c r="U2" i="20" s="1"/>
  <c r="G2" i="20"/>
  <c r="T2" i="20" s="1"/>
  <c r="J11" i="20"/>
  <c r="X11" i="20"/>
  <c r="I10" i="20"/>
  <c r="V10" i="20" s="1"/>
  <c r="W10" i="20" s="1"/>
  <c r="H10" i="20"/>
  <c r="U10" i="20" s="1"/>
  <c r="G10" i="20"/>
  <c r="T10" i="20" s="1"/>
  <c r="J8" i="20"/>
  <c r="X8" i="20"/>
  <c r="J3" i="20"/>
  <c r="X3" i="20"/>
  <c r="X9" i="20"/>
  <c r="J9" i="20"/>
  <c r="J7" i="20"/>
  <c r="X7" i="20"/>
  <c r="J4" i="20"/>
  <c r="X4" i="20"/>
  <c r="X6" i="20"/>
  <c r="J6" i="20"/>
  <c r="I20" i="15"/>
  <c r="I19" i="15"/>
  <c r="I14" i="15"/>
  <c r="I11" i="15"/>
  <c r="U50" i="15"/>
  <c r="X50" i="15" s="1"/>
  <c r="S50" i="15"/>
  <c r="S32" i="15"/>
  <c r="I32" i="15" s="1"/>
  <c r="I16" i="15"/>
  <c r="I15" i="15"/>
  <c r="X9" i="15"/>
  <c r="H32" i="15"/>
  <c r="H20" i="15"/>
  <c r="Q39" i="15"/>
  <c r="V39" i="15" s="1"/>
  <c r="X18" i="15"/>
  <c r="X12" i="15"/>
  <c r="X17" i="15"/>
  <c r="T34" i="15"/>
  <c r="U34" i="15" s="1"/>
  <c r="V34" i="15" s="1"/>
  <c r="W34" i="15" s="1"/>
  <c r="X34" i="15" s="1"/>
  <c r="S24" i="15"/>
  <c r="AG24" i="15" s="1"/>
  <c r="W24" i="15" s="1"/>
  <c r="X24" i="15" s="1"/>
  <c r="S26" i="15"/>
  <c r="T22" i="15"/>
  <c r="T25" i="15"/>
  <c r="L25" i="12"/>
  <c r="R26" i="12"/>
  <c r="T26" i="12" s="1"/>
  <c r="AG25" i="15"/>
  <c r="AH15" i="15"/>
  <c r="O5" i="14"/>
  <c r="M6" i="12"/>
  <c r="U22" i="15" l="1"/>
  <c r="V22" i="15" s="1"/>
  <c r="W22" i="15" s="1"/>
  <c r="X22" i="15" s="1"/>
  <c r="Q19" i="20"/>
  <c r="Q18" i="20"/>
  <c r="Y20" i="20"/>
  <c r="L20" i="20" s="1"/>
  <c r="K20" i="20"/>
  <c r="Y19" i="20"/>
  <c r="L19" i="20" s="1"/>
  <c r="K19" i="20"/>
  <c r="Q21" i="20"/>
  <c r="Q20" i="20"/>
  <c r="K17" i="20"/>
  <c r="Y17" i="20"/>
  <c r="L17" i="20" s="1"/>
  <c r="Y21" i="20"/>
  <c r="L21" i="20" s="1"/>
  <c r="K21" i="20"/>
  <c r="K13" i="20"/>
  <c r="R13" i="20" s="1"/>
  <c r="Y13" i="20"/>
  <c r="L13" i="20" s="1"/>
  <c r="K15" i="20"/>
  <c r="Y15" i="20"/>
  <c r="L15" i="20" s="1"/>
  <c r="Q17" i="20"/>
  <c r="Q16" i="20"/>
  <c r="Y16" i="20"/>
  <c r="L16" i="20" s="1"/>
  <c r="K16" i="20"/>
  <c r="K14" i="20"/>
  <c r="Y14" i="20"/>
  <c r="L14" i="20" s="1"/>
  <c r="Q14" i="20"/>
  <c r="U35" i="20" s="1"/>
  <c r="Q15" i="20"/>
  <c r="Y18" i="20"/>
  <c r="L18" i="20" s="1"/>
  <c r="K18" i="20"/>
  <c r="K3" i="20"/>
  <c r="Y3" i="20"/>
  <c r="L3" i="20" s="1"/>
  <c r="K8" i="20"/>
  <c r="Y8" i="20"/>
  <c r="L8" i="20" s="1"/>
  <c r="Q8" i="20"/>
  <c r="Q9" i="20"/>
  <c r="Q7" i="20"/>
  <c r="Q6" i="20"/>
  <c r="Q35" i="20" s="1"/>
  <c r="K6" i="20"/>
  <c r="Y6" i="20"/>
  <c r="L6" i="20" s="1"/>
  <c r="X10" i="20"/>
  <c r="J10" i="20"/>
  <c r="Y4" i="20"/>
  <c r="L4" i="20" s="1"/>
  <c r="K4" i="20"/>
  <c r="K11" i="20"/>
  <c r="Y11" i="20"/>
  <c r="L11" i="20" s="1"/>
  <c r="Q5" i="20"/>
  <c r="Q4" i="20"/>
  <c r="K7" i="20"/>
  <c r="Y7" i="20"/>
  <c r="L7" i="20" s="1"/>
  <c r="J2" i="20"/>
  <c r="X2" i="20"/>
  <c r="Y9" i="20"/>
  <c r="L9" i="20" s="1"/>
  <c r="K9" i="20"/>
  <c r="V35" i="20"/>
  <c r="I50" i="15"/>
  <c r="H50" i="15"/>
  <c r="H24" i="15"/>
  <c r="I24" i="15"/>
  <c r="H9" i="15"/>
  <c r="I9" i="15"/>
  <c r="H34" i="15"/>
  <c r="I34" i="15"/>
  <c r="H17" i="15"/>
  <c r="I17" i="15"/>
  <c r="H12" i="15"/>
  <c r="I12" i="15"/>
  <c r="H18" i="15"/>
  <c r="I18" i="15"/>
  <c r="AG28" i="15"/>
  <c r="W25" i="15"/>
  <c r="X25" i="15" s="1"/>
  <c r="AG26" i="15"/>
  <c r="W28" i="15" l="1"/>
  <c r="X28" i="15" s="1"/>
  <c r="R15" i="20"/>
  <c r="R14" i="20"/>
  <c r="R17" i="20"/>
  <c r="R16" i="20"/>
  <c r="R12" i="20"/>
  <c r="R18" i="20"/>
  <c r="R19" i="20"/>
  <c r="R21" i="20"/>
  <c r="R20" i="20"/>
  <c r="R5" i="20"/>
  <c r="R4" i="20"/>
  <c r="Q11" i="20"/>
  <c r="Q10" i="20"/>
  <c r="Y10" i="20"/>
  <c r="L10" i="20" s="1"/>
  <c r="K10" i="20"/>
  <c r="R7" i="20"/>
  <c r="R6" i="20"/>
  <c r="K2" i="20"/>
  <c r="Y2" i="20"/>
  <c r="L2" i="20" s="1"/>
  <c r="Q2" i="20"/>
  <c r="O35" i="20" s="1"/>
  <c r="Q3" i="20"/>
  <c r="R8" i="20"/>
  <c r="R9" i="20"/>
  <c r="T36" i="20"/>
  <c r="V36" i="20"/>
  <c r="U36" i="20"/>
  <c r="P35" i="20"/>
  <c r="H22" i="15"/>
  <c r="I22" i="15"/>
  <c r="H25" i="15"/>
  <c r="I25" i="15"/>
  <c r="W26" i="15"/>
  <c r="X26" i="15" s="1"/>
  <c r="H28" i="15" l="1"/>
  <c r="I28" i="15"/>
  <c r="R2" i="20"/>
  <c r="O36" i="20" s="1"/>
  <c r="R3" i="20"/>
  <c r="R11" i="20"/>
  <c r="R10" i="20"/>
  <c r="Q36" i="20"/>
  <c r="P36" i="20"/>
  <c r="H26" i="15"/>
  <c r="I26" i="15"/>
</calcChain>
</file>

<file path=xl/sharedStrings.xml><?xml version="1.0" encoding="utf-8"?>
<sst xmlns="http://schemas.openxmlformats.org/spreadsheetml/2006/main" count="2544" uniqueCount="813">
  <si>
    <t>Tabs 1-9 are used for this paper:</t>
  </si>
  <si>
    <t>As large as microscopic life: A comprehensive guide to accurate estimates of body mass and allometric scaling for the aquatic micro-world</t>
  </si>
  <si>
    <t xml:space="preserve">Julia Reiss1*, Andrea Perna2, and Daniel Perkins1 </t>
  </si>
  <si>
    <t>1 Brunel University London, College of Health, Medicine and Life Sciences, Division of Environmental Sciences, Brunel University London, Uxbridge, UB8 3PH, UK.</t>
  </si>
  <si>
    <t>2 IMT School for Advanced Studies Lucca, Piazza S. Francesco, 19 - 55100 Lucca, Italy</t>
  </si>
  <si>
    <t>* corresponding author Email: julia.reiss@brunel.ac.uk (JR)</t>
  </si>
  <si>
    <t>The tab number correspondes to the number for supplementary information.</t>
  </si>
  <si>
    <t>Tabs 1,2,3,4 and 7 feature in shorter form in the main MS.</t>
  </si>
  <si>
    <t xml:space="preserve">Tabs 1, 2 and 3 are background for estimating body mass </t>
  </si>
  <si>
    <t xml:space="preserve">Tabs 4 and 5 are methods to compare body mass estimates </t>
  </si>
  <si>
    <t>calculate body weight from dimensions by entering measuremtns and selecting the best geometric shape and conversion factors</t>
  </si>
  <si>
    <t>taxa specific equations are available. In the tab they are compared to each other and the volume and weight of a simple geometric shape</t>
  </si>
  <si>
    <t>Tabs 6&amp;7 explain temperature corrections for metabolic rate and related rates after gillooly and with Q10</t>
  </si>
  <si>
    <t>figure 1 is background</t>
  </si>
  <si>
    <t>glossary is for all terms used in manuscript</t>
  </si>
  <si>
    <t>figure 2 has dummy data to show the slope of the allometric relationship</t>
  </si>
  <si>
    <t>viruses not include as black box regarding these parametres</t>
  </si>
  <si>
    <t>Data for expected abundaunce (N) are the perpendicular line of metabolci rate (W) - this line will have a slope with the opposite reciprocal. In simpler terms, you flip the slope and change the sign.</t>
  </si>
  <si>
    <t>Katrin Layer data unpubl.</t>
  </si>
  <si>
    <t>Background</t>
  </si>
  <si>
    <t>literature average body sizes</t>
  </si>
  <si>
    <t>Size group</t>
  </si>
  <si>
    <t>Size group name</t>
  </si>
  <si>
    <t>Group</t>
  </si>
  <si>
    <t>Example</t>
  </si>
  <si>
    <t>L (µm)</t>
  </si>
  <si>
    <t>V (µm3), i.e. V (fL)</t>
  </si>
  <si>
    <t>V (nl)</t>
  </si>
  <si>
    <t>FW (µg)</t>
  </si>
  <si>
    <t>DW (µg)</t>
  </si>
  <si>
    <t>µgC/ind.</t>
  </si>
  <si>
    <t>L (mm)</t>
  </si>
  <si>
    <t>V (ml)</t>
  </si>
  <si>
    <t xml:space="preserve">FW (mg) </t>
  </si>
  <si>
    <t>DW (mg) min</t>
  </si>
  <si>
    <t>FW(g)</t>
  </si>
  <si>
    <t>DW (g)</t>
  </si>
  <si>
    <t>L (m)</t>
  </si>
  <si>
    <t>gC/ind.</t>
  </si>
  <si>
    <t>Reference</t>
  </si>
  <si>
    <t>raw data as given by authors for length</t>
  </si>
  <si>
    <t>raw data as given by authors</t>
  </si>
  <si>
    <t>comment 1</t>
  </si>
  <si>
    <t>comment 2</t>
  </si>
  <si>
    <t>Viruses</t>
  </si>
  <si>
    <t>Wilhelm and Suttle 1999</t>
  </si>
  <si>
    <t>0.2 fgC</t>
  </si>
  <si>
    <t>marine virus</t>
  </si>
  <si>
    <t>Steward et al. 2007</t>
  </si>
  <si>
    <t>0.055fgC</t>
  </si>
  <si>
    <t>virus small</t>
  </si>
  <si>
    <t>Modrow et al. 2013</t>
  </si>
  <si>
    <t>16 nm</t>
  </si>
  <si>
    <t>Sevvana et al. 2021</t>
  </si>
  <si>
    <t>Angstrom</t>
  </si>
  <si>
    <t>Bacteriophage typical</t>
  </si>
  <si>
    <t xml:space="preserve">Bar-On et al. 2018 </t>
  </si>
  <si>
    <t>≈0.02 fg C, 50nm length</t>
  </si>
  <si>
    <t>SARS-CoV-2 virus</t>
  </si>
  <si>
    <t>Bar-On et al. 2020</t>
  </si>
  <si>
    <t>1fg, 100nm in diamtre</t>
  </si>
  <si>
    <t>Bacteriophage Lambda</t>
  </si>
  <si>
    <t>Hohn &amp; Katsura 1977</t>
  </si>
  <si>
    <t>58 x 106 daltons</t>
  </si>
  <si>
    <t>head with a radius of 30 nm and a flexible tail 150 nm long</t>
  </si>
  <si>
    <t>Bacteriophage T2</t>
  </si>
  <si>
    <t>Matthews 1975</t>
  </si>
  <si>
    <t>325 x 106 dalton; 34.6 × 104nm3</t>
  </si>
  <si>
    <t>1 dalton = 1.66054E-24g</t>
  </si>
  <si>
    <t>virus large</t>
  </si>
  <si>
    <t>300 nm</t>
  </si>
  <si>
    <t>Mimivirus that infects protozoa</t>
  </si>
  <si>
    <t>Dimmock et al. 2015</t>
  </si>
  <si>
    <t xml:space="preserve">phage of Autographa californica </t>
  </si>
  <si>
    <t>Ilic et al. 2004</t>
  </si>
  <si>
    <t>1 fg</t>
  </si>
  <si>
    <t>Bacteriophage</t>
  </si>
  <si>
    <t>Day and Mindich 1980</t>
  </si>
  <si>
    <t>82 nm</t>
  </si>
  <si>
    <t>molecular weight of 99 × 106</t>
  </si>
  <si>
    <t>Bacteria</t>
  </si>
  <si>
    <t>Bacteria - heterotroph</t>
  </si>
  <si>
    <t>SAR11 marine clade</t>
  </si>
  <si>
    <t>Andersen et al. 2015</t>
  </si>
  <si>
    <t>cm</t>
  </si>
  <si>
    <t>Hatton et al. 2021</t>
  </si>
  <si>
    <t xml:space="preserve">smallest cell 0.15 μm </t>
  </si>
  <si>
    <t>Bacteria - general</t>
  </si>
  <si>
    <t>Aquatic bacterium</t>
  </si>
  <si>
    <t>~0.72</t>
  </si>
  <si>
    <t>na</t>
  </si>
  <si>
    <t>Findlay et al. 2002</t>
  </si>
  <si>
    <t>0.2μm3</t>
  </si>
  <si>
    <t>small</t>
  </si>
  <si>
    <t>Schulz &amp; Jørgensen 2001</t>
  </si>
  <si>
    <t>0.2 microm</t>
  </si>
  <si>
    <t>Bacteria - autotroph</t>
  </si>
  <si>
    <t xml:space="preserve">Prochlorococcus sp. </t>
  </si>
  <si>
    <t xml:space="preserve">Chroococcus sp. </t>
  </si>
  <si>
    <t>Achromatium oxaliferum, the largest free living single-celled prokaryotes</t>
  </si>
  <si>
    <t>95 microm</t>
  </si>
  <si>
    <t>biovolume in microm3</t>
  </si>
  <si>
    <t>E. coli</t>
  </si>
  <si>
    <t>≈150 fg C</t>
  </si>
  <si>
    <t>marine, brakish and freshwater bacteria</t>
  </si>
  <si>
    <t>Fagerbakke, Heldal and Norland 1996 </t>
  </si>
  <si>
    <t xml:space="preserve">0026 to 15.8 microm3, 4 fg to 1.9 pg. </t>
  </si>
  <si>
    <t>Ilic et al. 2001</t>
  </si>
  <si>
    <t>E.coli from 2 lakes - small</t>
  </si>
  <si>
    <t>Loferer-Krossbacher et al. 1998</t>
  </si>
  <si>
    <t>DW of E. coli cells ranged from 3 to 1,172 fg; carbon is 50% of DW</t>
  </si>
  <si>
    <t>E.coli from 2 lakes - large</t>
  </si>
  <si>
    <t>DW of E. coli cells ranged from 83 to 1,172 fg</t>
  </si>
  <si>
    <t>Groundwater bacteria large</t>
  </si>
  <si>
    <t>Marxen 1988</t>
  </si>
  <si>
    <t>Average benthic, marine prokaryote</t>
  </si>
  <si>
    <t>11 fgC/cell</t>
  </si>
  <si>
    <t>Simon and Azam 1989</t>
  </si>
  <si>
    <t>fg protein</t>
  </si>
  <si>
    <t>Constant biomass model for bacteria</t>
  </si>
  <si>
    <t>Lee and Fuhrman 1987</t>
  </si>
  <si>
    <t>Groundwater bacteria small</t>
  </si>
  <si>
    <t>V in microm3</t>
  </si>
  <si>
    <t>Aquatic prokaryote small</t>
  </si>
  <si>
    <t>Whitman et al. 1998</t>
  </si>
  <si>
    <t>Aquatic prokaryotes large</t>
  </si>
  <si>
    <t>Average benthic prokaryotes</t>
  </si>
  <si>
    <t>Average planktonic prokayote</t>
  </si>
  <si>
    <t>Andersen et al. 2015 2015</t>
  </si>
  <si>
    <t>smallest cell</t>
  </si>
  <si>
    <t>bacteria body mass range 10-14 10-11</t>
  </si>
  <si>
    <t>large</t>
  </si>
  <si>
    <t>bacteria body mass range 10-14 10-12</t>
  </si>
  <si>
    <t>Protists</t>
  </si>
  <si>
    <t>Protists - phototroph</t>
  </si>
  <si>
    <t>marine diatoms small</t>
  </si>
  <si>
    <t>Menden-Deuer and Lessard 2000</t>
  </si>
  <si>
    <t>picograms</t>
  </si>
  <si>
    <t>dinoflagellates small</t>
  </si>
  <si>
    <t>marine diatoms large</t>
  </si>
  <si>
    <t>dinoflagellates large</t>
  </si>
  <si>
    <t>smallest phototrophic protists</t>
  </si>
  <si>
    <t>Hartmann et al. 2011</t>
  </si>
  <si>
    <t>under 2 microm</t>
  </si>
  <si>
    <t xml:space="preserve">Ostreococcus tauri </t>
  </si>
  <si>
    <t>Protists - mixotroph</t>
  </si>
  <si>
    <t>Picophytoplankton</t>
  </si>
  <si>
    <t>Protists - heterotroph</t>
  </si>
  <si>
    <t>Ciliate small</t>
  </si>
  <si>
    <t>unpublished data used in Reiss &amp; Schmid-Araya 2010</t>
  </si>
  <si>
    <t>Fragilidium cf. mexicanum</t>
  </si>
  <si>
    <t>Neocalyptrella robusta</t>
  </si>
  <si>
    <t>Ciliate large (Spirostomum sp.)</t>
  </si>
  <si>
    <t>Cyclidium glaucoma</t>
  </si>
  <si>
    <t>Finlay 1977</t>
  </si>
  <si>
    <t>Spirostomum teres</t>
  </si>
  <si>
    <t>Amoeba Proteus</t>
  </si>
  <si>
    <t>Prescott 1955</t>
  </si>
  <si>
    <t>Protists - general</t>
  </si>
  <si>
    <t>Marine protists</t>
  </si>
  <si>
    <t xml:space="preserve">≈0.8×10-12 g C cell-1 </t>
  </si>
  <si>
    <t>Protists - autotroph</t>
  </si>
  <si>
    <t>Tabularia fasciculata</t>
  </si>
  <si>
    <t>Hillebrand et al. 1999</t>
  </si>
  <si>
    <t>Melosira moniliformis</t>
  </si>
  <si>
    <t>Diatom Navicula grevillei</t>
  </si>
  <si>
    <t>Diatom Navicula gregaria</t>
  </si>
  <si>
    <t>heterotrophic nanoflagellates</t>
  </si>
  <si>
    <t>Boenigk and Arndt, 2002</t>
  </si>
  <si>
    <t>15microm</t>
  </si>
  <si>
    <t>Sprirostomum spp.</t>
  </si>
  <si>
    <t>Foissner and Berger, 1996</t>
  </si>
  <si>
    <t>2mm</t>
  </si>
  <si>
    <t>Micro-metazoan</t>
  </si>
  <si>
    <t>Micro-metazoans</t>
  </si>
  <si>
    <t>Rotifer Colurella colurus</t>
  </si>
  <si>
    <t>Nematode family Dorylaimidae</t>
  </si>
  <si>
    <t>most nematodes</t>
  </si>
  <si>
    <t>Andrassy 1956</t>
  </si>
  <si>
    <t>Mesozooplankton marine large</t>
  </si>
  <si>
    <t>Bar-On et al. 2018</t>
  </si>
  <si>
    <t>Mesozooplankton marine small</t>
  </si>
  <si>
    <t>≈4 μg C</t>
  </si>
  <si>
    <t>Nematoda</t>
  </si>
  <si>
    <t>≈0.05 μg C</t>
  </si>
  <si>
    <t>Copepoda small</t>
  </si>
  <si>
    <t>Bott &amp; Borchard</t>
  </si>
  <si>
    <t>Copepoda large</t>
  </si>
  <si>
    <t>Oligochaetes, small</t>
  </si>
  <si>
    <t>Oligochaetes, large</t>
  </si>
  <si>
    <t>Chrironomids, small</t>
  </si>
  <si>
    <t>Chrironomids, large</t>
  </si>
  <si>
    <t>Copepod nauplii</t>
  </si>
  <si>
    <t>Gradinger</t>
  </si>
  <si>
    <t>Gradinger 1999</t>
  </si>
  <si>
    <t>Rotatoria</t>
  </si>
  <si>
    <t>Macrofauna</t>
  </si>
  <si>
    <t xml:space="preserve">Asellus aquaticus small </t>
  </si>
  <si>
    <t>Reiss et al. 2011</t>
  </si>
  <si>
    <t>4-8 vs. 8–12 mm length for A. aquaticus and G. pulex; 9–14 vs. 14–19 Sericostoma</t>
  </si>
  <si>
    <t>2.1mg</t>
  </si>
  <si>
    <t>Gammarus pulex small</t>
  </si>
  <si>
    <t>Sericostoma personatum small</t>
  </si>
  <si>
    <t>Asellus aquaticus large</t>
  </si>
  <si>
    <t>Gammarus pulex large</t>
  </si>
  <si>
    <t>Sericostoma personatum large</t>
  </si>
  <si>
    <t>Macrozooplankton</t>
  </si>
  <si>
    <t>Colombet et al. 2020</t>
  </si>
  <si>
    <t>definition for macrozooplankton 2-20cm</t>
  </si>
  <si>
    <t>Mesozooplankton</t>
  </si>
  <si>
    <t>Mesozooplankton 10-6 10</t>
  </si>
  <si>
    <t>Macrozooplankton 10-3 103</t>
  </si>
  <si>
    <t>Row Labels</t>
  </si>
  <si>
    <t>Min of gC/ind.</t>
  </si>
  <si>
    <t>Max of gC/ind.2</t>
  </si>
  <si>
    <t>(blank)</t>
  </si>
  <si>
    <t>Grand Total</t>
  </si>
  <si>
    <t>Conversions length and weight</t>
  </si>
  <si>
    <t>The below tables were used to establish body size realms and orders of magnitude difference.</t>
  </si>
  <si>
    <t>Units in writing</t>
  </si>
  <si>
    <t>Units decimals</t>
  </si>
  <si>
    <t>Units scientific</t>
  </si>
  <si>
    <t xml:space="preserve">Realm </t>
  </si>
  <si>
    <t>Units to demonstrate order of magnitude</t>
  </si>
  <si>
    <t>Number</t>
  </si>
  <si>
    <t>log10</t>
  </si>
  <si>
    <t>milligram</t>
  </si>
  <si>
    <t>=</t>
  </si>
  <si>
    <t xml:space="preserve">10−3 </t>
  </si>
  <si>
    <t>g</t>
  </si>
  <si>
    <t>from</t>
  </si>
  <si>
    <t>to</t>
  </si>
  <si>
    <t>microgram</t>
  </si>
  <si>
    <t xml:space="preserve">10−6 </t>
  </si>
  <si>
    <t>nanogram</t>
  </si>
  <si>
    <t xml:space="preserve">10−9 </t>
  </si>
  <si>
    <t>picogram</t>
  </si>
  <si>
    <t xml:space="preserve">10−12 </t>
  </si>
  <si>
    <t>femtogram</t>
  </si>
  <si>
    <t xml:space="preserve">10−15 </t>
  </si>
  <si>
    <t>attogram</t>
  </si>
  <si>
    <t xml:space="preserve">10−18 </t>
  </si>
  <si>
    <t>zeptogram</t>
  </si>
  <si>
    <t xml:space="preserve">10−21 </t>
  </si>
  <si>
    <t>yoctogram</t>
  </si>
  <si>
    <t>10−24</t>
  </si>
  <si>
    <t xml:space="preserve">10−24 </t>
  </si>
  <si>
    <t>10−21</t>
  </si>
  <si>
    <t>centimetre</t>
  </si>
  <si>
    <t>10−2</t>
  </si>
  <si>
    <t>m</t>
  </si>
  <si>
    <t>millimetre</t>
  </si>
  <si>
    <t>micrometre</t>
  </si>
  <si>
    <t>nanometre</t>
  </si>
  <si>
    <t xml:space="preserve">Conversions for body volume </t>
  </si>
  <si>
    <t>a) Length to volume</t>
  </si>
  <si>
    <t>b) Volume to weight</t>
  </si>
  <si>
    <t>Dalton to weight, particle number to weight</t>
  </si>
  <si>
    <t>Conversions of volumes</t>
  </si>
  <si>
    <t>cm3</t>
  </si>
  <si>
    <t>centimetre cubed</t>
  </si>
  <si>
    <t>ml</t>
  </si>
  <si>
    <t>millilitre</t>
  </si>
  <si>
    <t>L</t>
  </si>
  <si>
    <t>mL</t>
  </si>
  <si>
    <t>gram</t>
  </si>
  <si>
    <t>kg</t>
  </si>
  <si>
    <t>1 Dalton = 1.66054e-24g</t>
  </si>
  <si>
    <t>mm3</t>
  </si>
  <si>
    <t xml:space="preserve">millimetre cubed </t>
  </si>
  <si>
    <t>µL</t>
  </si>
  <si>
    <t>microlitre</t>
  </si>
  <si>
    <t>mg</t>
  </si>
  <si>
    <t>1 Dalton = 1.66054 yoctogram</t>
  </si>
  <si>
    <t>1 cubic nanometre = 10-18 cubic mm</t>
  </si>
  <si>
    <t>nL</t>
  </si>
  <si>
    <t>nanolitre</t>
  </si>
  <si>
    <t>µg</t>
  </si>
  <si>
    <r>
      <t xml:space="preserve">Virus 10E3 Megadalton (MD) </t>
    </r>
    <r>
      <rPr>
        <sz val="9"/>
        <color theme="1"/>
        <rFont val="Calibri Light"/>
        <family val="2"/>
      </rPr>
      <t xml:space="preserve"> ≈ </t>
    </r>
    <r>
      <rPr>
        <sz val="9"/>
        <color theme="1"/>
        <rFont val="Calibri Light"/>
        <family val="2"/>
        <scheme val="major"/>
      </rPr>
      <t>1 fg  (Bar-On et al. 2022)</t>
    </r>
  </si>
  <si>
    <t>1 cubic micrometre = 10-9 cubic mm</t>
  </si>
  <si>
    <t>pL</t>
  </si>
  <si>
    <t>picolitre</t>
  </si>
  <si>
    <t>ng</t>
  </si>
  <si>
    <r>
      <t xml:space="preserve">Virus 10E3 Dalton </t>
    </r>
    <r>
      <rPr>
        <sz val="9"/>
        <color theme="1"/>
        <rFont val="Calibri Light"/>
        <family val="2"/>
      </rPr>
      <t>≈</t>
    </r>
    <r>
      <rPr>
        <sz val="9"/>
        <color theme="1"/>
        <rFont val="Calibri Light"/>
        <family val="2"/>
        <scheme val="major"/>
      </rPr>
      <t xml:space="preserve"> 1 zg (Bar-On et al. 2022)</t>
    </r>
  </si>
  <si>
    <t xml:space="preserve">1 cubic mm = 10-9 cubic m </t>
  </si>
  <si>
    <t>µm3</t>
  </si>
  <si>
    <t>micrometre cubed</t>
  </si>
  <si>
    <t>fL</t>
  </si>
  <si>
    <t>femtolitre</t>
  </si>
  <si>
    <t>pg</t>
  </si>
  <si>
    <r>
      <t xml:space="preserve">Virus Dalton </t>
    </r>
    <r>
      <rPr>
        <sz val="9"/>
        <color theme="1"/>
        <rFont val="Calibri Light"/>
        <family val="2"/>
      </rPr>
      <t>≈</t>
    </r>
    <r>
      <rPr>
        <sz val="9"/>
        <color theme="1"/>
        <rFont val="Calibri Light"/>
        <family val="2"/>
        <scheme val="major"/>
      </rPr>
      <t xml:space="preserve"> 1 yg (Bar-On et al. 2022)</t>
    </r>
  </si>
  <si>
    <t>aL</t>
  </si>
  <si>
    <t>attolitre</t>
  </si>
  <si>
    <t>fg</t>
  </si>
  <si>
    <t>zL</t>
  </si>
  <si>
    <t>zeptolitre</t>
  </si>
  <si>
    <t>ag</t>
  </si>
  <si>
    <t>Avogadro's number* 6.022 × 10²³</t>
  </si>
  <si>
    <t>nm3</t>
  </si>
  <si>
    <t>nanometre cubed</t>
  </si>
  <si>
    <t>yL</t>
  </si>
  <si>
    <t>yoctolitre</t>
  </si>
  <si>
    <t>zg</t>
  </si>
  <si>
    <t>*number of units in one mole of any substance (defined as its molecular weight in grams)</t>
  </si>
  <si>
    <t>Methods body mass</t>
  </si>
  <si>
    <t>table: simple approaches to calcualte weight from body dimensions, that assume, simple geometric shapes and  fixed ratios</t>
  </si>
  <si>
    <t>Worked examples</t>
  </si>
  <si>
    <t>W (µm)</t>
  </si>
  <si>
    <t>d (µm)</t>
  </si>
  <si>
    <t>Shape</t>
  </si>
  <si>
    <t>Volume fL (µm3)</t>
  </si>
  <si>
    <t>Volume nL and water weight in µg</t>
  </si>
  <si>
    <t>µg FW of organisms applying conversion factor a)</t>
  </si>
  <si>
    <t>µg DW of organism if DW is x% of FW; applying conversion factor b)</t>
  </si>
  <si>
    <t>µg CW of organism if CW is x% of DW; applying conversion factor c)</t>
  </si>
  <si>
    <t>From V in fL to µg C using one 'combined' factor; applying conversion factor d)</t>
  </si>
  <si>
    <t xml:space="preserve"> g CW of orgabism</t>
  </si>
  <si>
    <t>a) density (conversion factor) to estimate wetweight from volume</t>
  </si>
  <si>
    <t>b) conversion factor to estimate dry weight from fresh weight</t>
  </si>
  <si>
    <t>c) conversion factor to estiamte carbon content from dry weight</t>
  </si>
  <si>
    <t>d) one-pass factor from volume in fL to microg C</t>
  </si>
  <si>
    <t>Volume (V) equation</t>
  </si>
  <si>
    <t>Volume equation solved for L, W and d</t>
  </si>
  <si>
    <t>sphere</t>
  </si>
  <si>
    <t>V=4/3πr3</t>
  </si>
  <si>
    <t>V=4/3π(L/2)3</t>
  </si>
  <si>
    <t>"</t>
  </si>
  <si>
    <t>ellipsoid</t>
  </si>
  <si>
    <t>V=4/3πabc</t>
  </si>
  <si>
    <t>prolate spheroid</t>
  </si>
  <si>
    <t>V=4/3πab2</t>
  </si>
  <si>
    <t>V=L*W2*(π/6)</t>
  </si>
  <si>
    <t xml:space="preserve">1/2 cone </t>
  </si>
  <si>
    <t>V=1/3hπr²</t>
  </si>
  <si>
    <t xml:space="preserve">cylinder </t>
  </si>
  <si>
    <t>V=πr²h</t>
  </si>
  <si>
    <t>V=π*(W/2)2*L</t>
  </si>
  <si>
    <t>Shape and volume</t>
  </si>
  <si>
    <t>Hillebrand et al. 1999, Marine and freshwater microalgal genera; species specific, 21 possible geometric shapes from multiple dimensions</t>
  </si>
  <si>
    <t>Sacca 2016, plankton, 2 dimensional shapes</t>
  </si>
  <si>
    <t>Feller &amp; Warwick 1988 V (nl) = a*b²*factor depending on form and taxon, see tap 2</t>
  </si>
  <si>
    <t>Ruttner-Kolisko 1977; rotifers, sphere, half cone, cylinder, ellipsoid</t>
  </si>
  <si>
    <t>Reiss and Schmid-Araya 2010, ciliates and meiofauna, sphere, half cone, cylinder, ellipsoid</t>
  </si>
  <si>
    <t>Pernice et al. 2015, heterotrophic pelagic marine protists prolate spheroid shapes</t>
  </si>
  <si>
    <t>fresh weight (FW) of organisms in µg if density is x</t>
  </si>
  <si>
    <t>Feller &amp; Warwick 1988 assume density to be 1.13</t>
  </si>
  <si>
    <t>Reiss and Schmid-Araya 2010 assume density of 1.1</t>
  </si>
  <si>
    <t>Drweight content</t>
  </si>
  <si>
    <t>Reiss and Schmid-Araya 2010 assume 25% of DW</t>
  </si>
  <si>
    <t>Carbon content</t>
  </si>
  <si>
    <t>Reiss and Schmid-Araya 2010 assume 40% of DW</t>
  </si>
  <si>
    <t>Gaedke 1992 assume 50% of DW for rotifers</t>
  </si>
  <si>
    <t>From V to C using 'simple' conversion factors</t>
  </si>
  <si>
    <t xml:space="preserve">Gaedke 1992 conversion factor C µg= x * (cell vol., µm3): APP 0.19 ; Heterotrophic flagellates 0.22; Phytoplankton 0.11; Ciliates 0.11 </t>
  </si>
  <si>
    <t>Fry 1990 conversion factor C fg = 319 * (cell vol., µm3): prokaryotes</t>
  </si>
  <si>
    <t>Methods mody mass</t>
  </si>
  <si>
    <t>As given by authors</t>
  </si>
  <si>
    <t>Worked example</t>
  </si>
  <si>
    <t>Units as used by the authors</t>
  </si>
  <si>
    <t>literature overview of how to estimate body mass for specific taxa</t>
  </si>
  <si>
    <t>Methods-general</t>
  </si>
  <si>
    <t>Methods - organism shape assumed</t>
  </si>
  <si>
    <r>
      <t xml:space="preserve">Example for individual (or object) length in </t>
    </r>
    <r>
      <rPr>
        <b/>
        <sz val="9"/>
        <color theme="1"/>
        <rFont val="Aptos Narrow"/>
        <family val="2"/>
      </rPr>
      <t>µ</t>
    </r>
    <r>
      <rPr>
        <b/>
        <sz val="9"/>
        <color theme="1"/>
        <rFont val="Calibri Light"/>
        <family val="2"/>
        <scheme val="major"/>
      </rPr>
      <t>m</t>
    </r>
  </si>
  <si>
    <t>gC per example individual</t>
  </si>
  <si>
    <r>
      <t>pgC/</t>
    </r>
    <r>
      <rPr>
        <b/>
        <sz val="9"/>
        <color theme="1"/>
        <rFont val="Aptos Narrow"/>
        <family val="2"/>
      </rPr>
      <t>µ</t>
    </r>
    <r>
      <rPr>
        <b/>
        <sz val="9"/>
        <color theme="1"/>
        <rFont val="Calibri Light"/>
        <family val="2"/>
        <scheme val="major"/>
      </rPr>
      <t>m</t>
    </r>
    <r>
      <rPr>
        <b/>
        <vertAlign val="superscript"/>
        <sz val="9"/>
        <color theme="1"/>
        <rFont val="Calibri Light"/>
        <family val="2"/>
        <scheme val="major"/>
      </rPr>
      <t>3</t>
    </r>
  </si>
  <si>
    <t>Volume estimated as</t>
  </si>
  <si>
    <t>W</t>
  </si>
  <si>
    <t>V</t>
  </si>
  <si>
    <t>d</t>
  </si>
  <si>
    <t>Single pass factor</t>
  </si>
  <si>
    <t>Example L in µm</t>
  </si>
  <si>
    <t>Example W  in µm</t>
  </si>
  <si>
    <t>Volume in µm3, i.e. fL</t>
  </si>
  <si>
    <t>Volume in nl</t>
  </si>
  <si>
    <t>Fresh weight in µg</t>
  </si>
  <si>
    <t>Dry weight in µg</t>
  </si>
  <si>
    <t>Carbon µg/ind.</t>
  </si>
  <si>
    <t>Carbon g/ind.</t>
  </si>
  <si>
    <t xml:space="preserve">Original Measurements </t>
  </si>
  <si>
    <t>Dry weight in fg</t>
  </si>
  <si>
    <t>Carbon fg/ind.</t>
  </si>
  <si>
    <t>Protein weight fg</t>
  </si>
  <si>
    <t>Volume in cm3</t>
  </si>
  <si>
    <t>formula used by authors</t>
  </si>
  <si>
    <t>Dry weight in pg, i.e. fL</t>
  </si>
  <si>
    <t>Carbon pg/ind.</t>
  </si>
  <si>
    <t>a</t>
  </si>
  <si>
    <t>b</t>
  </si>
  <si>
    <t>dry weight in mg</t>
  </si>
  <si>
    <t>L=length, W=width, V=Volume, d=Density, DW=Dryweight, FW=fresh weight, CW=carbon weight, gC=gram carbon. 1fL=1µm3.</t>
  </si>
  <si>
    <t>enveloped viruses</t>
  </si>
  <si>
    <t>this publication</t>
  </si>
  <si>
    <t>Assuming that viruses weigh 106 daltons and hence all have a weight of just over 1.6*10-17 gC; daltons give the weight in yoctograms</t>
  </si>
  <si>
    <t>no shape specified</t>
  </si>
  <si>
    <t>dalton for weight in yoctogram</t>
  </si>
  <si>
    <t>bacteriophage</t>
  </si>
  <si>
    <t>Bar-on 2020</t>
  </si>
  <si>
    <t xml:space="preserve">Jover et al. 2014 equations; R-code available </t>
  </si>
  <si>
    <t>head as a spherical shell</t>
  </si>
  <si>
    <t>enveloped virus SARS-Cov</t>
  </si>
  <si>
    <t>Bar-on et al. 2018</t>
  </si>
  <si>
    <t>Multiply the total number of atoms by the molecular weight of carbon and divide by Avogadro's number</t>
  </si>
  <si>
    <t>length and width in nm</t>
  </si>
  <si>
    <t>Overestimation with exaggerated shape made out of carbon</t>
  </si>
  <si>
    <t>Prokaryotes</t>
  </si>
  <si>
    <t>Bacterium with prolate spheroid shape</t>
  </si>
  <si>
    <t>L in µm; W in µm, V in µm3; ρ =1.1; FW = V*d, DW is 25% of FW, CW is 50% of DW.</t>
  </si>
  <si>
    <t>in µm3 (=fL)</t>
  </si>
  <si>
    <t>µm</t>
  </si>
  <si>
    <t>length, width in µm</t>
  </si>
  <si>
    <t>Constant biomass model, all bacteria weigh the same; (they also report  C= 0.38 g of C cm-3)</t>
  </si>
  <si>
    <t>'</t>
  </si>
  <si>
    <t>0.036 - 0.073</t>
  </si>
  <si>
    <t>Watson et al. 1977</t>
  </si>
  <si>
    <t>L in µm; W in µm, V in µm3; CW (fg) = 6.35*V(µm3).</t>
  </si>
  <si>
    <t>different shapes</t>
  </si>
  <si>
    <t>Volume = 1/4(Trd2h). bVolume = '/6(7Td3).</t>
  </si>
  <si>
    <t xml:space="preserve"> µm3</t>
  </si>
  <si>
    <t>μm</t>
  </si>
  <si>
    <t>Bacteria, size classes of 0.4, 0.6 and 0.8 µm spheres</t>
  </si>
  <si>
    <t>Fuhrman and Azam 1980</t>
  </si>
  <si>
    <t>L in µm; W in µm, V in µm3; CW (g) = 1.21*10-13*V(µm3).</t>
  </si>
  <si>
    <t>length in µm</t>
  </si>
  <si>
    <t>bacteria weigh 2*10-14 gC / cell</t>
  </si>
  <si>
    <t>Marxen 2006</t>
  </si>
  <si>
    <t>L in µm; W in µm, V in µm3; CW (fg) = 100*V(µm3). Citing Findlay et al. (2002).</t>
  </si>
  <si>
    <t>Fry 1990</t>
  </si>
  <si>
    <t xml:space="preserve">L in µm; W in µm, V in µm3; CW (fg) = 310*V(µm3). </t>
  </si>
  <si>
    <t>Simon &amp; Azam 1989</t>
  </si>
  <si>
    <t>L in µm; W in µm, V in µm3; protein content (fg) =88.6*V(µm3)0.59. CW is 54% of protein content.</t>
  </si>
  <si>
    <t>rod shaped cells are cylinders with a hemispherical cap, and cocci are spheres</t>
  </si>
  <si>
    <t>Bacteria, cocci and rods</t>
  </si>
  <si>
    <t>L in µm; W in µm, V in µm3; DW (fg) =435*V(µm3)0.86. CW is 50% of DW.</t>
  </si>
  <si>
    <t>cylinders with hemispherical ends at each side</t>
  </si>
  <si>
    <t>Bratbak 1985</t>
  </si>
  <si>
    <t>L in µm; W in µm, V in µm3; CW (g) = 5.6*10-13*V(µm3).</t>
  </si>
  <si>
    <t>cocci and rods</t>
  </si>
  <si>
    <t>(7r/4)W2(L- W/3)</t>
  </si>
  <si>
    <t>Bratbak &amp; Dundas 1984</t>
  </si>
  <si>
    <t>L in µm; W in µm, V in cm3; CW (g) = 0.22*V(cm3).</t>
  </si>
  <si>
    <t>perfect sphere</t>
  </si>
  <si>
    <t>sphere 1µm long</t>
  </si>
  <si>
    <t>Protist with prolate spheroid shape</t>
  </si>
  <si>
    <t>Reiss and Schmid-Araya 2010</t>
  </si>
  <si>
    <t>L in µm; W in µm, V in µm3; ρ =1.1; FW = V*d, DW is 25% of FW, CW is 40% of DW.</t>
  </si>
  <si>
    <t>Average protist'</t>
  </si>
  <si>
    <t>Bar-On 2020</t>
  </si>
  <si>
    <t>V in µm3</t>
  </si>
  <si>
    <t>Dinoflagellates, marine</t>
  </si>
  <si>
    <t>Menden-Deuer &amp; Lessard 2000</t>
  </si>
  <si>
    <t>L in µm; W in µm, V in µm3; CW (pg) = 0.76*V(µm3)0.82</t>
  </si>
  <si>
    <t>Diatoms, marine</t>
  </si>
  <si>
    <t>L in µm; W in µm, V in µm3; CW(pg)= 0.288*V(µm3)0.811</t>
  </si>
  <si>
    <t>Protists - planktonic heterotrophic protists marine</t>
  </si>
  <si>
    <t>Pernice et al. 2016 and Menden-Deuer &amp; Lessard 2000</t>
  </si>
  <si>
    <t>L in µm; W in µm, V in µm3; CW(pg) = 0.21*V(µm3)0.939</t>
  </si>
  <si>
    <t>Tintinnid ciliates</t>
  </si>
  <si>
    <t>Verity and Lagdon 1984</t>
  </si>
  <si>
    <t>Oligotrich ciliates</t>
  </si>
  <si>
    <t>Putt &amp; Stoecker 1989</t>
  </si>
  <si>
    <t>L in µm; W in µm, V in µm3; CW (pg) = 0.19*V(µm3) for cells preserved in Lugol.</t>
  </si>
  <si>
    <t>Tetrahymena elliotti</t>
  </si>
  <si>
    <t>Gates et al. 1982</t>
  </si>
  <si>
    <t>DW is 59% of WW</t>
  </si>
  <si>
    <t>14 marine ciliates</t>
  </si>
  <si>
    <t>Fenchel 1967</t>
  </si>
  <si>
    <t>L in µm, WW in g, ρ=1, length-weight regressions for 14 species</t>
  </si>
  <si>
    <t>Testate amoebae and ciliates in freshwater (river and moss)</t>
  </si>
  <si>
    <t>Schoenborn 1978</t>
  </si>
  <si>
    <t>ρ=1</t>
  </si>
  <si>
    <t>ellipsoid or cylinder</t>
  </si>
  <si>
    <t>Sphere 50µm long</t>
  </si>
  <si>
    <t>Micro-metazoan with prolate spheroid shape</t>
  </si>
  <si>
    <t>Acari</t>
  </si>
  <si>
    <t>Feller &amp; Warwick 1988</t>
  </si>
  <si>
    <t>L in mm; W in mm; V in nL; V(nL) = a*b²*399; ρ =1.13; FW = V*d, DW is 25% of FW, CW is 40% of DW.</t>
  </si>
  <si>
    <t>V (nl) = a*b²*399</t>
  </si>
  <si>
    <t>total length in mm</t>
  </si>
  <si>
    <t>Annelida - Oligochaeta</t>
  </si>
  <si>
    <t>L in mm; W in mm; V in nL; V(nL) = a*b²*530; ρ =1.13; FW = V*d, DW is 25% of FW, CW is 40% of DW.</t>
  </si>
  <si>
    <t>V (nl) = a*b²*530</t>
  </si>
  <si>
    <t>Crustacea - pyriform Cyclopoids</t>
  </si>
  <si>
    <t>L in mm; W in mm; V in nL; V(nL) = a*b²*400; ρ =1.13; FW = V*d, DW is 25% of FW, CW is 40% of DW.</t>
  </si>
  <si>
    <t>V (nl) = a*b²*400</t>
  </si>
  <si>
    <t>Crustacea - copepods -Calanoids</t>
  </si>
  <si>
    <t>Chisholm &amp; Roff 1990</t>
  </si>
  <si>
    <t>L in µm of prosome; DW in µg; lnDW (µg)=2.74lnL(µm)-16.41</t>
  </si>
  <si>
    <t>prosome length only, in µm</t>
  </si>
  <si>
    <t>POWER(10,(2.74*LN(length in microm)-16.41))</t>
  </si>
  <si>
    <t>Crustacea - copepods -Cyclopoids</t>
  </si>
  <si>
    <t>L in µm of prosome; DW in µg; lnDW (µg)=1.96lnL(µm)-11.64</t>
  </si>
  <si>
    <t>POWER(10,(1.96*LN(length in microm)-11.64))</t>
  </si>
  <si>
    <t>Crustacea - Ostracoda</t>
  </si>
  <si>
    <t>L in mm; W in mm; V in nL; V(nL) = a*b²*450; ρ =1.13; FW = V*d, DW is 25% of FW, CW is 40% of DW.</t>
  </si>
  <si>
    <t>V (nl) = a*b²*450</t>
  </si>
  <si>
    <t>Copepoda- Cylopoida, excluding females with eggs</t>
  </si>
  <si>
    <t>Dumont et al. 1975</t>
  </si>
  <si>
    <t>L in µm; DW(µg)=1.1*10-7*L(µm)2.59</t>
  </si>
  <si>
    <t>Copepoda- Harpacticoida</t>
  </si>
  <si>
    <t>L in mm; DW(µg)=12.51*L(mm)4.4</t>
  </si>
  <si>
    <t>Copepoda-copepodites</t>
  </si>
  <si>
    <t>L in µm; DW(µg)=1.1*10-5*L(µm)1.89</t>
  </si>
  <si>
    <t>L in mm; W in mm; V in µm3; V(µm3) = a²*b/1.7; ρ =1.084; FW = V*d, DW is 25% of FW</t>
  </si>
  <si>
    <r>
      <t>V (µm</t>
    </r>
    <r>
      <rPr>
        <vertAlign val="superscript"/>
        <sz val="9"/>
        <color theme="1"/>
        <rFont val="Calibri Light"/>
        <family val="2"/>
        <scheme val="major"/>
      </rPr>
      <t>3</t>
    </r>
    <r>
      <rPr>
        <sz val="9"/>
        <color theme="1"/>
        <rFont val="Calibri Light"/>
        <family val="2"/>
        <scheme val="major"/>
      </rPr>
      <t>) = a</t>
    </r>
    <r>
      <rPr>
        <vertAlign val="superscript"/>
        <sz val="9"/>
        <color theme="1"/>
        <rFont val="Calibri Light"/>
        <family val="2"/>
        <scheme val="major"/>
      </rPr>
      <t>2</t>
    </r>
    <r>
      <rPr>
        <sz val="9"/>
        <color theme="1"/>
        <rFont val="Calibri Light"/>
        <family val="2"/>
        <scheme val="major"/>
      </rPr>
      <t>b /1.7</t>
    </r>
  </si>
  <si>
    <t>Oligochaeta</t>
  </si>
  <si>
    <t>Ostracoda</t>
  </si>
  <si>
    <t>Rotifera</t>
  </si>
  <si>
    <t>Ruttner-Kolisko 1977</t>
  </si>
  <si>
    <t>sphere, half cone, cylinder or ellipsoid</t>
  </si>
  <si>
    <t>diverse</t>
  </si>
  <si>
    <t>body dimensions</t>
  </si>
  <si>
    <t>Tardigrada</t>
  </si>
  <si>
    <t>L in mm; W in mm; V in nL; V(nL) = a*b²*614; ρ =1.13; FW = V*d, DW is 25% of FW, CW is 40% of DW.</t>
  </si>
  <si>
    <t>V (nl) = a*b²*614</t>
  </si>
  <si>
    <t>Turbellaria and gastrotricha</t>
  </si>
  <si>
    <t>L in mm; W in mm; V in nL; V(nL) = a*b²*550; ρ =1.13; FW = V*d, DW is 25% of FW, CW is 40% of DW.</t>
  </si>
  <si>
    <t>V (nl) = a*b²*550</t>
  </si>
  <si>
    <t>Cylinder</t>
  </si>
  <si>
    <t>Cylinder 500 µm long</t>
  </si>
  <si>
    <t xml:space="preserve">Macrofauna, Asellus aquaticus small </t>
  </si>
  <si>
    <t>mm, mg</t>
  </si>
  <si>
    <t>Macrofauna, Gammarus pulex small</t>
  </si>
  <si>
    <t>Macrofauna, Sericostoma personatum small</t>
  </si>
  <si>
    <t>Chironomidae</t>
  </si>
  <si>
    <t>Balushkina, 1982</t>
  </si>
  <si>
    <t>Benke et al. 1999</t>
  </si>
  <si>
    <t>Cladocera</t>
  </si>
  <si>
    <t>Herzig, 1984</t>
  </si>
  <si>
    <t>Coleptera</t>
  </si>
  <si>
    <t>Burgherr and Meyer 1997</t>
  </si>
  <si>
    <t>Meyer 1989</t>
  </si>
  <si>
    <t>Towers et al. 1994</t>
  </si>
  <si>
    <t>Crustacea</t>
  </si>
  <si>
    <t>Baumgaertner &amp; Rothhaupt 2003</t>
  </si>
  <si>
    <t>Diptera</t>
  </si>
  <si>
    <t>Smock 1980</t>
  </si>
  <si>
    <t>Woodward 1999</t>
  </si>
  <si>
    <t>Ephemeroptera</t>
  </si>
  <si>
    <t>Finogenova, 1984</t>
  </si>
  <si>
    <t>Smit et al. 1993</t>
  </si>
  <si>
    <t>Plecoptera</t>
  </si>
  <si>
    <t>Edwards 2005</t>
  </si>
  <si>
    <t>Trichoptera</t>
  </si>
  <si>
    <t>Worked example for Methods alloemtric scaling correcting for temperature following Gillooly et al. 2001; the biological rate a1 at temperature T1 can be related to its value a2 at some other temperature T2; a2(T2)= a1(T1)e-(E/k)((1/T2)-(1/T1))</t>
  </si>
  <si>
    <t>Example - temperature corrected rate in bold</t>
  </si>
  <si>
    <t>Temperature 1 degree C</t>
  </si>
  <si>
    <t xml:space="preserve">Temperature 2 degree C </t>
  </si>
  <si>
    <t>Temperature 1 Kelvin</t>
  </si>
  <si>
    <t>Temperature 2 Kelvin</t>
  </si>
  <si>
    <t>e (Euler)</t>
  </si>
  <si>
    <t>k (Bolzmann's constant) in eV per Kelvin</t>
  </si>
  <si>
    <t>Ei (Activation energy metabolic rate) in eV</t>
  </si>
  <si>
    <t>Rate 1 at T1</t>
  </si>
  <si>
    <t>Rate 2 at T2</t>
  </si>
  <si>
    <t>Calculations after Gillooly et al. 2001, equation 3</t>
  </si>
  <si>
    <t>Metabolic rate and its proxies can be ‘temperature corrected’ using equation given by Gillooly et al. (2002). Used by these authors for any biological rate (a) related to metabolism, this equation describes the temperature dependence of a. For example, a could be the intrinsic rate of population increase (r).</t>
  </si>
  <si>
    <t xml:space="preserve">After Gillooly et al. (2002), the biological rate a1 at temperature T1 can be related to its value a2 at some other temperature T2 by </t>
  </si>
  <si>
    <t xml:space="preserve">a2(T2)= a1(T1)e-(E/k)((1/T2)-(1/T1)),                                                                                               </t>
  </si>
  <si>
    <t xml:space="preserve">where e= Euler’s number, E =activation energy in eV, k=Bolzman constant (8.62*10-5 eV K‑1). </t>
  </si>
  <si>
    <t>Following Brown et al. (2004), activation energy can be assumed to be 0.63 eV, which is the average value for metabolic reactions according to these authors.</t>
  </si>
  <si>
    <t xml:space="preserve">In simple terms, on log-log scales, this equation predicts the intercept (which changes with temperature) of the log body mass-log intrinsic rate of population increase relationship while assuming that the slope of the relationship remains unchanged. These corrections should be used with caution as body mass can change — acutely or through evolution/adaptation —  because of temperature. Also, many species have an optimal temperature range in which they operate. </t>
  </si>
  <si>
    <t>Using Q10 to temperature correct; The Q10 coefficient is defined as the factor by which the rate of a reaction increases for every  10degree C rise in temperature</t>
  </si>
  <si>
    <t>Q10=Power((rate2 / rate1);(10/(T2-T1)))</t>
  </si>
  <si>
    <t>R2 = R1 * Power(Q10; ((T2-T1)/10))</t>
  </si>
  <si>
    <t>Q10 value</t>
  </si>
  <si>
    <t>Temperature 2 degree C</t>
  </si>
  <si>
    <t>Glossary</t>
  </si>
  <si>
    <t>Terminology and explanation</t>
  </si>
  <si>
    <t>Abbreviations</t>
  </si>
  <si>
    <t>L = length</t>
  </si>
  <si>
    <t>D = width</t>
  </si>
  <si>
    <t>V = volume</t>
  </si>
  <si>
    <t>FW = freshweight and wet weight (WW)</t>
  </si>
  <si>
    <t>DW = dryweight</t>
  </si>
  <si>
    <t>CW = carbon weight</t>
  </si>
  <si>
    <t>C = carbon</t>
  </si>
  <si>
    <t>Units</t>
  </si>
  <si>
    <t>1 Ångstrom = 0.1nm</t>
  </si>
  <si>
    <t>Energy in watts: 1 Watt is equal to 1 joule per second</t>
  </si>
  <si>
    <t>Energy in joules: one joule corresponds to one kilogram-square metre per square second (1 J = 1 kg⋅m2⋅s−2).</t>
  </si>
  <si>
    <t>eV</t>
  </si>
  <si>
    <t>Dalton. 1 D =  1.6605*10-24 g</t>
  </si>
  <si>
    <t>Terminology</t>
  </si>
  <si>
    <t>Avogadro's number: The number 6.022 × 10²³ is known as Avogadro's number or Avogadro's constant. The concept of the mole can be used to convert between mass and number of particles</t>
  </si>
  <si>
    <t>Biomass abundaunce *body weight</t>
  </si>
  <si>
    <t xml:space="preserve">Production (the turnover of biomass over time) </t>
  </si>
  <si>
    <t>Metabolic rate, the rate of energy transformation within an organism</t>
  </si>
  <si>
    <t>Kleiber’s law - metabolic rate of all organisms scales with body mass as an exponent of ~0.75</t>
  </si>
  <si>
    <t>Euler’s number</t>
  </si>
  <si>
    <t xml:space="preserve">Boltzman constant </t>
  </si>
  <si>
    <t>Activation energy</t>
  </si>
  <si>
    <t>energetic equivalence rule: all size classes included in the analysis use the same amount of energy (energetic equivalence rule: Damuth 1987</t>
  </si>
  <si>
    <t>Microzooplankton can be defined either taxonomicallyas a diverse grouping of heterotrophic protists, or operationallyas a size class, typically &lt;200 mm (Buitenhuis et al., 2010)</t>
  </si>
  <si>
    <t>Mesozooplankton are not only comprised of groups such as meroplanktonic larvae and copepods but also giant protists from the group Rhizaria (Hatton et al 2021)</t>
  </si>
  <si>
    <t>Molecular weight: The sum of the atomic masses of all atoms in a molecule, measured in dalton</t>
  </si>
  <si>
    <t>Data used to create figure 1</t>
  </si>
  <si>
    <t>group</t>
  </si>
  <si>
    <t>group no</t>
  </si>
  <si>
    <t>x value</t>
  </si>
  <si>
    <t>carbon weight in g</t>
  </si>
  <si>
    <t>Y-axis</t>
  </si>
  <si>
    <t>length in m</t>
  </si>
  <si>
    <t>weight pre-fix</t>
  </si>
  <si>
    <t>length pre-fix</t>
  </si>
  <si>
    <t>Ref carbon weight</t>
  </si>
  <si>
    <t>Ref length</t>
  </si>
  <si>
    <t>viruses</t>
  </si>
  <si>
    <t>min</t>
  </si>
  <si>
    <t>Bar-On et al., 2018</t>
  </si>
  <si>
    <t>Modrow et al., 2013</t>
  </si>
  <si>
    <t>max</t>
  </si>
  <si>
    <t>na, conservative estimate from WW (Hatton et al. 2021)</t>
  </si>
  <si>
    <t>bacteria</t>
  </si>
  <si>
    <t>Head et al., 1996</t>
  </si>
  <si>
    <t>protists</t>
  </si>
  <si>
    <t>Boenigk &amp; Arndt, 2002</t>
  </si>
  <si>
    <t>Foissner &amp; Berger, 1996</t>
  </si>
  <si>
    <t>micro-eukaryotes</t>
  </si>
  <si>
    <t>Reiss &amp; Schmid-Araya unpublished data</t>
  </si>
  <si>
    <t>macrofauna</t>
  </si>
  <si>
    <t xml:space="preserve">Bar-On et al., 2018 </t>
  </si>
  <si>
    <t>Colombet et al., 2020</t>
  </si>
  <si>
    <t xml:space="preserve"> </t>
  </si>
  <si>
    <t>Min body mass</t>
  </si>
  <si>
    <t>Max body mass</t>
  </si>
  <si>
    <t>metabolism.b</t>
  </si>
  <si>
    <t>growth.b</t>
  </si>
  <si>
    <t>abundance.b</t>
  </si>
  <si>
    <t>biomass.b</t>
  </si>
  <si>
    <t>production.b</t>
  </si>
  <si>
    <t>Who</t>
  </si>
  <si>
    <t>DeLong</t>
  </si>
  <si>
    <t>Theory</t>
  </si>
  <si>
    <t>Methods allometric scaling</t>
  </si>
  <si>
    <t>Approach</t>
  </si>
  <si>
    <t>size</t>
  </si>
  <si>
    <t>Body mass</t>
  </si>
  <si>
    <t>logM</t>
  </si>
  <si>
    <t>log W</t>
  </si>
  <si>
    <t>logRmax</t>
  </si>
  <si>
    <t>logN</t>
  </si>
  <si>
    <t>logB</t>
  </si>
  <si>
    <t>log P</t>
  </si>
  <si>
    <t>log P/B</t>
  </si>
  <si>
    <t>empty</t>
  </si>
  <si>
    <t>exp. M-W after deLong</t>
  </si>
  <si>
    <t>exp. M-R max</t>
  </si>
  <si>
    <t>exp. M-N</t>
  </si>
  <si>
    <t>exp. M-B</t>
  </si>
  <si>
    <t>exp. M-P</t>
  </si>
  <si>
    <t>Metabolic rate</t>
  </si>
  <si>
    <t>Rmax</t>
  </si>
  <si>
    <t>Abundance</t>
  </si>
  <si>
    <t>Biomass</t>
  </si>
  <si>
    <t>Production</t>
  </si>
  <si>
    <t>P/B</t>
  </si>
  <si>
    <t>empty3</t>
  </si>
  <si>
    <t>ReferenceM_N</t>
  </si>
  <si>
    <t>Reference_metabolic rate</t>
  </si>
  <si>
    <t>Reference_Rmax</t>
  </si>
  <si>
    <t>ReferenceN</t>
  </si>
  <si>
    <t>ReferenceB</t>
  </si>
  <si>
    <t>ReferenceP</t>
  </si>
  <si>
    <t>ReferenceP/B</t>
  </si>
  <si>
    <t>ignore intercept here- these are just dummy dat to show the theoretical intercept</t>
  </si>
  <si>
    <t>reciprocal of metabolic rate</t>
  </si>
  <si>
    <t>N*body mass</t>
  </si>
  <si>
    <t>Biomass*Rmax</t>
  </si>
  <si>
    <t>P over B</t>
  </si>
  <si>
    <t>Eukaryotes protists</t>
  </si>
  <si>
    <t>Micro-Eukaryotes non protist</t>
  </si>
  <si>
    <t>Brown et al. 2004</t>
  </si>
  <si>
    <t>macroeukaryotes</t>
  </si>
  <si>
    <t>Across all groups</t>
  </si>
  <si>
    <t>DeLong data</t>
  </si>
  <si>
    <t>Slope of log-log relationship</t>
  </si>
  <si>
    <t>Abundaunce</t>
  </si>
  <si>
    <t>Biomas</t>
  </si>
  <si>
    <t>Length realm</t>
  </si>
  <si>
    <t>weight realm</t>
  </si>
  <si>
    <t>Length realm2</t>
  </si>
  <si>
    <t>weight realm2</t>
  </si>
  <si>
    <t>Phototrophic eukaryotes - Ostreococcus tauri</t>
  </si>
  <si>
    <t>Andersen et al.</t>
  </si>
  <si>
    <t>data not used - factor of 10 out</t>
  </si>
  <si>
    <t>data in cm must be wrong by factor of 10</t>
  </si>
  <si>
    <t>Heterotrophic eukaryotes - Cafeteria minuta</t>
  </si>
  <si>
    <t>Rotifera - Brachionus rubens</t>
  </si>
  <si>
    <t>Rotifera - Brachionus calicyfiorus</t>
  </si>
  <si>
    <t>Crustaceans - Oithona davisae</t>
  </si>
  <si>
    <t>Spirostomum ambiguum</t>
  </si>
  <si>
    <t>Fungi</t>
  </si>
  <si>
    <t>Soil fungi</t>
  </si>
  <si>
    <t>V≈100 μm; 15 pg C cell-1.</t>
  </si>
  <si>
    <t>data not used</t>
  </si>
  <si>
    <r>
      <rPr>
        <sz val="9"/>
        <color theme="1"/>
        <rFont val="Aptos Narrow"/>
        <family val="2"/>
      </rPr>
      <t>µ</t>
    </r>
    <r>
      <rPr>
        <sz val="9"/>
        <color theme="1"/>
        <rFont val="Calibri Light"/>
        <family val="2"/>
        <scheme val="major"/>
      </rPr>
      <t>m</t>
    </r>
  </si>
  <si>
    <t>Protists - phototrop or mixotoph</t>
  </si>
  <si>
    <t>Hatton et al., 2021</t>
  </si>
  <si>
    <t>Balanion planctonicum</t>
  </si>
  <si>
    <t>Foissner and Berger 1998</t>
  </si>
  <si>
    <t>Stentor coruleus</t>
  </si>
  <si>
    <t>Sub-group/Species</t>
  </si>
  <si>
    <t>8imocephalu8 vetulus O.F.M.) (k)</t>
  </si>
  <si>
    <t>Acantholeberi8 curvirostris O.F.M. (h) 1.188 13.2 1.008 7.6</t>
  </si>
  <si>
    <t>Acroperus harpae</t>
  </si>
  <si>
    <t>Aloha costata (Sars) (c) 0.441 1.5 0.441 1.0</t>
  </si>
  <si>
    <t>Alona affinis</t>
  </si>
  <si>
    <t>Alona rectangula</t>
  </si>
  <si>
    <t>Alonella exigua</t>
  </si>
  <si>
    <t>Alonella nana (Baird} (c) 0.234 0.42 0.198 0.31</t>
  </si>
  <si>
    <t>Boamina longirostris (0. F.M.)</t>
  </si>
  <si>
    <t>Bosminidae</t>
  </si>
  <si>
    <t>Ceriodaphnia quadrangula (O.F.M.)</t>
  </si>
  <si>
    <t>Ceriodaphnia quadranoula (0. F.M.) (a)</t>
  </si>
  <si>
    <t>Ceriodcvphnia reticulata (Jurine)</t>
  </si>
  <si>
    <t>Chydorus s</t>
  </si>
  <si>
    <t>Daphnia (1)-(4) pooled</t>
  </si>
  <si>
    <t>Daphnia ambigua Scourfield (1)</t>
  </si>
  <si>
    <t>Daphnia ambigua Scourfield (a)</t>
  </si>
  <si>
    <t>Daphnia galeata Sars (2)</t>
  </si>
  <si>
    <t>Daphnia galeata Sars (a)</t>
  </si>
  <si>
    <t>Daphnia magna Straus (a)</t>
  </si>
  <si>
    <t>Daphnia pulex Leydig (a)</t>
  </si>
  <si>
    <t>Daphnia spec.</t>
  </si>
  <si>
    <t>Daphniidae</t>
  </si>
  <si>
    <t>Diaphanoagma brachyurum (Li~vin) (g)</t>
  </si>
  <si>
    <t>Diaphanosoma bra~hyurum (Li6vin)</t>
  </si>
  <si>
    <t>Dunhevedia crassa King (j) 0.450 1.2 0.450 1.0</t>
  </si>
  <si>
    <t>Dwphnia magna, ephippial</t>
  </si>
  <si>
    <t>Eurycercus lamellatus (O.F.M.) (c) -- -- 2.376 157.0</t>
  </si>
  <si>
    <t>Geriodaphnia reticulata (Jurine) (g)</t>
  </si>
  <si>
    <t>Graptoleberis testudinaria (Fischer) (j) 0.459 2.6 0.404 1.4</t>
  </si>
  <si>
    <t>Hcapholeberis mucronata (0. F. M.)</t>
  </si>
  <si>
    <t>Leydigia quadrangularis (Leydig) (a) 0.630 3.0 0.702 2.0</t>
  </si>
  <si>
    <t>Moina macrocopa (Straus) (c)</t>
  </si>
  <si>
    <t>Moina micrura Kurz</t>
  </si>
  <si>
    <t>Moina micrura, ephippial</t>
  </si>
  <si>
    <t xml:space="preserve">Moina mongolica </t>
  </si>
  <si>
    <t>Moinidae</t>
  </si>
  <si>
    <t>Pleuroxus aduncus</t>
  </si>
  <si>
    <t>Polyphemus pediculus</t>
  </si>
  <si>
    <t>Scapholeberis mucronata (0. F.M.) (h)</t>
  </si>
  <si>
    <t>Sida crystallina (O.F.M.) (j) 2.430 112.0 -- --</t>
  </si>
  <si>
    <t>Sididae</t>
  </si>
  <si>
    <t>Simocephalua vetulus (O.I~.M.), Belgium 1967</t>
  </si>
  <si>
    <t>Copepoda</t>
  </si>
  <si>
    <t xml:space="preserve"> Ceriodaphnia #</t>
  </si>
  <si>
    <t>Acanthocyclops robustus</t>
  </si>
  <si>
    <t>Adult Cyclopoida, including females with eggs (tLm, ~g): W = 4.9 • 10- s L 2-7s</t>
  </si>
  <si>
    <t>Adult Cyelopeida, females with eggs excluded (~m, ~g) : W = 1.1 • 10- 7 L 2.s9</t>
  </si>
  <si>
    <t>Burgis (in press), copepodites plus nauplii (Izm, ~zg):</t>
  </si>
  <si>
    <t>Burgis (in press), pooled equation (tzm, ~tg): W=2.2 • 10 ~ L ~.s~</t>
  </si>
  <si>
    <t>Calanoida</t>
  </si>
  <si>
    <t>Calanoida, pooled equation (tzm, [zg) :</t>
  </si>
  <si>
    <t>Canthocamptus staphylinus (e) -- -- 0.918</t>
  </si>
  <si>
    <t>Ceriodaphnia</t>
  </si>
  <si>
    <t>Cletocamptus retrogressus (f) 0.720 2.8 0.652</t>
  </si>
  <si>
    <t>Copepodites plus nauplii (y~n, ~zg) :</t>
  </si>
  <si>
    <t>Cyclops abyssorum</t>
  </si>
  <si>
    <t>Cyclops strenuus</t>
  </si>
  <si>
    <t>Cyelopoida</t>
  </si>
  <si>
    <t>Daphnia ambigu</t>
  </si>
  <si>
    <t>Daphnia galeata</t>
  </si>
  <si>
    <t>Daphnia magna</t>
  </si>
  <si>
    <t xml:space="preserve">Daphnia pulex </t>
  </si>
  <si>
    <t>Diacyclops bicuspidatus</t>
  </si>
  <si>
    <t>Diaphanosoma</t>
  </si>
  <si>
    <t>Eucyclops serrulatus</t>
  </si>
  <si>
    <t>Eudiaptomus gracilis</t>
  </si>
  <si>
    <t>Harpacticoida</t>
  </si>
  <si>
    <t>Harpaeticoida, pooled equation (ram, ~zg):</t>
  </si>
  <si>
    <t>Herzig (1974), Arctodiaptomus females (ram, mg):</t>
  </si>
  <si>
    <t>Herzig (1974), Arctodiaptomus males (mm, rag):</t>
  </si>
  <si>
    <t>Klekowski and Shushkina (1966), fresh weight (rag, ram): W=0.055 L ~.Ta</t>
  </si>
  <si>
    <t>Macrocyclops /wscus</t>
  </si>
  <si>
    <t>Macrocyclops albidus</t>
  </si>
  <si>
    <t>Megacyclops virldis</t>
  </si>
  <si>
    <t>Mesocyclops leuckarti (a) 1.170 8.8 1.128</t>
  </si>
  <si>
    <t>Metacyclops problematicus (e) 0.993 5.5 0.993</t>
  </si>
  <si>
    <t>Mixodlaptomus laciniatus (g) -- -- 0.947</t>
  </si>
  <si>
    <t>Moina macrocopa (Straus)</t>
  </si>
  <si>
    <t xml:space="preserve">Moina micrura </t>
  </si>
  <si>
    <t>Paracyclops/imbriatus (c) 0.698 4.2 0.678</t>
  </si>
  <si>
    <t>Polyphemus</t>
  </si>
  <si>
    <t>Scapholeberis</t>
  </si>
  <si>
    <t>Simocephalu vetulus</t>
  </si>
  <si>
    <t>Stephanoceros /imbriatus</t>
  </si>
  <si>
    <t>Synohaeta sp.</t>
  </si>
  <si>
    <t>Testudinella patina</t>
  </si>
  <si>
    <t>Thermocyclops hyalinus (a) 0.924 6.9 0.924</t>
  </si>
  <si>
    <t>Trichocerca longiseta</t>
  </si>
  <si>
    <t>Trichocerca rattus</t>
  </si>
  <si>
    <t>Tropocydops prasinus (b) 0.797 6.3 0.769</t>
  </si>
  <si>
    <t>A~planchna brightwelli</t>
  </si>
  <si>
    <t>Brachionus ealyciflorus</t>
  </si>
  <si>
    <t>Brachionus quadridentatus</t>
  </si>
  <si>
    <t>Brachionus ureeolaris</t>
  </si>
  <si>
    <t>Braehionus angularis</t>
  </si>
  <si>
    <t>Dicranophorus caudatus</t>
  </si>
  <si>
    <t>Euchlani~ dilatata Ehrbg</t>
  </si>
  <si>
    <t>Floscularia ringens (Linn6)</t>
  </si>
  <si>
    <t>Gastropu~ hyptopus (Ehrbg)</t>
  </si>
  <si>
    <t>Hexarthra fennica</t>
  </si>
  <si>
    <t>Hexarthra mira (Hudson)</t>
  </si>
  <si>
    <t>Keratella eochlearis</t>
  </si>
  <si>
    <t>Keratella quadrata</t>
  </si>
  <si>
    <t>Lepaddla ovali8 (0. F. M.)</t>
  </si>
  <si>
    <t>Lepadelta :patella (0. F.M.)</t>
  </si>
  <si>
    <t>Mytilina mueronata (O.F.M.)</t>
  </si>
  <si>
    <t>Polyarthra sp. div.</t>
  </si>
  <si>
    <t>Rotaria rotatoria (Pallas)</t>
  </si>
  <si>
    <t>Rotarla neptunia (Ehrbg)</t>
  </si>
  <si>
    <t>Yilinia longiseta Ehrbg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</si>
</sst>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00000000000000000000"/>
    <numFmt numFmtId="165" formatCode="0.000000000000000000"/>
    <numFmt numFmtId="166" formatCode="0.000000000000000"/>
    <numFmt numFmtId="167" formatCode="0.000000000000"/>
    <numFmt numFmtId="168" formatCode="0.000000000"/>
    <numFmt numFmtId="169" formatCode="0.000000"/>
    <numFmt numFmtId="170" formatCode="0.000"/>
    <numFmt numFmtId="171" formatCode="0.000000000000000000000000"/>
    <numFmt numFmtId="172" formatCode="0.0"/>
    <numFmt numFmtId="173" formatCode="0.00000000"/>
    <numFmt numFmtId="174" formatCode="0.0000"/>
    <numFmt numFmtId="175" formatCode="_-* #,##0_-;\-* #,##0_-;_-* &quot;-&quot;??_-;_-@_-"/>
    <numFmt numFmtId="176" formatCode="0.0E+00"/>
  </numFmts>
  <fonts count="32" x14ac:knownFonts="1">
    <font>
      <sz val="11"/>
      <color theme="1"/>
      <name val="Calibri"/>
      <family val="2"/>
      <scheme val="minor"/>
    </font>
    <font>
      <b/>
      <sz val="9"/>
      <color theme="1"/>
      <name val="Calibri Light"/>
      <family val="2"/>
      <scheme val="major"/>
    </font>
    <font>
      <sz val="9"/>
      <color theme="1"/>
      <name val="Calibri Light"/>
      <family val="2"/>
      <scheme val="major"/>
    </font>
    <font>
      <sz val="9"/>
      <color theme="4" tint="-0.249977111117893"/>
      <name val="Calibri Light"/>
      <family val="2"/>
      <scheme val="major"/>
    </font>
    <font>
      <sz val="12"/>
      <color theme="1"/>
      <name val="Calibri"/>
      <family val="2"/>
      <scheme val="minor"/>
    </font>
    <font>
      <b/>
      <sz val="9"/>
      <color theme="4" tint="-0.249977111117893"/>
      <name val="Calibri Light"/>
      <family val="2"/>
      <scheme val="major"/>
    </font>
    <font>
      <sz val="9"/>
      <color theme="1"/>
      <name val="Calibri"/>
      <family val="2"/>
      <scheme val="minor"/>
    </font>
    <font>
      <sz val="8"/>
      <name val="Calibri"/>
      <family val="2"/>
      <scheme val="minor"/>
    </font>
    <font>
      <sz val="9"/>
      <color theme="1"/>
      <name val="Calibri Light"/>
      <family val="2"/>
    </font>
    <font>
      <sz val="9"/>
      <color theme="1"/>
      <name val="Aptos Narrow"/>
      <family val="2"/>
    </font>
    <font>
      <b/>
      <sz val="11"/>
      <color theme="1"/>
      <name val="Calibri"/>
      <family val="2"/>
      <scheme val="minor"/>
    </font>
    <font>
      <sz val="9"/>
      <name val="Calibri Light"/>
      <family val="2"/>
      <scheme val="major"/>
    </font>
    <font>
      <vertAlign val="superscript"/>
      <sz val="9"/>
      <color theme="1"/>
      <name val="Calibri Light"/>
      <family val="2"/>
      <scheme val="major"/>
    </font>
    <font>
      <sz val="10"/>
      <name val="Arial"/>
      <family val="2"/>
    </font>
    <font>
      <sz val="10"/>
      <name val="Arial"/>
      <family val="2"/>
    </font>
    <font>
      <b/>
      <sz val="10"/>
      <name val="Arial"/>
      <family val="2"/>
    </font>
    <font>
      <sz val="11"/>
      <color theme="1"/>
      <name val="Calibri Light"/>
      <family val="2"/>
      <scheme val="major"/>
    </font>
    <font>
      <b/>
      <sz val="11"/>
      <color theme="1"/>
      <name val="Calibri Light"/>
      <family val="2"/>
      <scheme val="major"/>
    </font>
    <font>
      <sz val="11"/>
      <color rgb="FF000000"/>
      <name val="Calibri Light"/>
      <family val="2"/>
      <scheme val="major"/>
    </font>
    <font>
      <sz val="11"/>
      <color rgb="FF00000A"/>
      <name val="Calibri Light"/>
      <family val="2"/>
      <scheme val="major"/>
    </font>
    <font>
      <sz val="12"/>
      <color rgb="FF00000A"/>
      <name val="Calibri"/>
      <family val="2"/>
      <scheme val="minor"/>
    </font>
    <font>
      <sz val="9"/>
      <color rgb="FF000000"/>
      <name val="Calibri Light"/>
      <family val="2"/>
      <scheme val="major"/>
    </font>
    <font>
      <sz val="9"/>
      <color rgb="FF00000A"/>
      <name val="Calibri Light"/>
      <family val="2"/>
      <scheme val="major"/>
    </font>
    <font>
      <sz val="11"/>
      <color theme="1"/>
      <name val="Calibri"/>
      <family val="2"/>
      <scheme val="minor"/>
    </font>
    <font>
      <b/>
      <sz val="9"/>
      <color theme="1"/>
      <name val="Aptos Narrow"/>
      <family val="2"/>
    </font>
    <font>
      <sz val="8"/>
      <color theme="1"/>
      <name val="Calibri Light"/>
      <family val="2"/>
      <scheme val="major"/>
    </font>
    <font>
      <b/>
      <sz val="8"/>
      <color theme="1"/>
      <name val="Calibri Light"/>
      <family val="2"/>
      <scheme val="major"/>
    </font>
    <font>
      <sz val="8"/>
      <name val="Calibri Light"/>
      <family val="2"/>
      <scheme val="major"/>
    </font>
    <font>
      <sz val="8"/>
      <color rgb="FF000000"/>
      <name val="Calibri Light"/>
      <family val="2"/>
      <scheme val="major"/>
    </font>
    <font>
      <i/>
      <sz val="9"/>
      <color theme="1"/>
      <name val="Calibri Light"/>
      <family val="2"/>
      <scheme val="major"/>
    </font>
    <font>
      <u/>
      <sz val="11"/>
      <color theme="10"/>
      <name val="Calibri"/>
      <family val="2"/>
      <scheme val="minor"/>
    </font>
    <font>
      <b/>
      <vertAlign val="superscript"/>
      <sz val="9"/>
      <color theme="1"/>
      <name val="Calibri Light"/>
      <family val="2"/>
      <scheme val="major"/>
    </font>
  </fonts>
  <fills count="4">
    <fill>
      <patternFill patternType="none"/>
    </fill>
    <fill>
      <patternFill patternType="gray125"/>
    </fill>
    <fill>
      <patternFill patternType="solid">
        <fgColor theme="2"/>
        <bgColor indexed="64"/>
      </patternFill>
    </fill>
    <fill>
      <patternFill patternType="solid">
        <fgColor theme="2" tint="-0.499984740745262"/>
        <bgColor indexed="64"/>
      </patternFill>
    </fill>
  </fills>
  <borders count="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13" fillId="0" borderId="0"/>
    <xf numFmtId="43" fontId="23" fillId="0" borderId="0" applyFont="0" applyFill="0" applyBorder="0" applyAlignment="0" applyProtection="0"/>
    <xf numFmtId="0" fontId="30" fillId="0" borderId="0" applyNumberFormat="0" applyFill="0" applyBorder="0" applyAlignment="0" applyProtection="0"/>
  </cellStyleXfs>
  <cellXfs count="161">
    <xf numFmtId="0" fontId="0" fillId="0" borderId="0" xfId="0"/>
    <xf numFmtId="0" fontId="0" fillId="0" borderId="0" xfId="0"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11" fontId="2" fillId="0" borderId="0" xfId="0" applyNumberFormat="1" applyFont="1" applyAlignment="1">
      <alignment horizontal="left" vertical="top"/>
    </xf>
    <xf numFmtId="0" fontId="2" fillId="0" borderId="0" xfId="0" applyFont="1"/>
    <xf numFmtId="11" fontId="3" fillId="0" borderId="0" xfId="0" applyNumberFormat="1" applyFont="1" applyAlignment="1">
      <alignment horizontal="left" vertical="top"/>
    </xf>
    <xf numFmtId="0" fontId="3" fillId="0" borderId="0" xfId="0" applyFont="1" applyAlignment="1">
      <alignment horizontal="left" vertical="top"/>
    </xf>
    <xf numFmtId="2" fontId="2" fillId="0" borderId="0" xfId="0" applyNumberFormat="1" applyFont="1"/>
    <xf numFmtId="49" fontId="2" fillId="0" borderId="0" xfId="0" applyNumberFormat="1" applyFont="1" applyAlignment="1">
      <alignment horizontal="left" vertical="top"/>
    </xf>
    <xf numFmtId="0" fontId="2" fillId="0" borderId="1" xfId="0" applyFont="1" applyBorder="1" applyAlignment="1">
      <alignment horizontal="left" vertical="top"/>
    </xf>
    <xf numFmtId="49" fontId="2" fillId="0" borderId="1" xfId="0" applyNumberFormat="1" applyFont="1" applyBorder="1" applyAlignment="1">
      <alignment horizontal="left" vertical="top"/>
    </xf>
    <xf numFmtId="11" fontId="2" fillId="0" borderId="1" xfId="0" applyNumberFormat="1" applyFont="1" applyBorder="1" applyAlignment="1">
      <alignment horizontal="left" vertical="top"/>
    </xf>
    <xf numFmtId="0" fontId="4" fillId="0" borderId="0" xfId="0" applyFont="1" applyAlignment="1">
      <alignment horizontal="left" vertical="top"/>
    </xf>
    <xf numFmtId="0" fontId="2" fillId="0" borderId="2" xfId="0" applyFont="1" applyBorder="1" applyAlignment="1">
      <alignment horizontal="left" vertical="top"/>
    </xf>
    <xf numFmtId="49" fontId="2" fillId="0" borderId="2" xfId="0" applyNumberFormat="1" applyFont="1" applyBorder="1" applyAlignment="1">
      <alignment horizontal="left" vertical="top"/>
    </xf>
    <xf numFmtId="11" fontId="2" fillId="0" borderId="2" xfId="0" applyNumberFormat="1" applyFont="1" applyBorder="1" applyAlignment="1">
      <alignment horizontal="left" vertical="top"/>
    </xf>
    <xf numFmtId="0" fontId="0" fillId="0" borderId="3" xfId="0" applyBorder="1"/>
    <xf numFmtId="0" fontId="2" fillId="0" borderId="3" xfId="0" applyFont="1" applyBorder="1"/>
    <xf numFmtId="0" fontId="1" fillId="0" borderId="3" xfId="0" applyFont="1" applyBorder="1" applyAlignment="1">
      <alignment horizontal="left" vertical="top"/>
    </xf>
    <xf numFmtId="0" fontId="2" fillId="0" borderId="3" xfId="0" applyFont="1" applyBorder="1" applyAlignment="1">
      <alignment horizontal="left" vertical="top"/>
    </xf>
    <xf numFmtId="11" fontId="2" fillId="0" borderId="3" xfId="0" applyNumberFormat="1" applyFont="1" applyBorder="1" applyAlignment="1">
      <alignment horizontal="left" vertical="top"/>
    </xf>
    <xf numFmtId="0" fontId="0" fillId="0" borderId="0" xfId="0" applyAlignment="1">
      <alignment horizontal="center"/>
    </xf>
    <xf numFmtId="0" fontId="2" fillId="0" borderId="0" xfId="0" applyFont="1" applyAlignment="1">
      <alignment horizontal="center" vertical="top"/>
    </xf>
    <xf numFmtId="0" fontId="2" fillId="0" borderId="6" xfId="0" applyFont="1" applyBorder="1" applyAlignment="1">
      <alignment horizontal="center" vertical="top" wrapText="1"/>
    </xf>
    <xf numFmtId="0" fontId="2" fillId="0" borderId="6" xfId="0" applyFont="1" applyBorder="1" applyAlignment="1">
      <alignment horizontal="left" vertical="top"/>
    </xf>
    <xf numFmtId="11" fontId="2" fillId="0" borderId="6" xfId="0" applyNumberFormat="1" applyFont="1" applyBorder="1" applyAlignment="1">
      <alignment horizontal="left" vertical="top"/>
    </xf>
    <xf numFmtId="164" fontId="2" fillId="0" borderId="6" xfId="0" applyNumberFormat="1" applyFont="1" applyBorder="1" applyAlignment="1">
      <alignment horizontal="left" vertical="top"/>
    </xf>
    <xf numFmtId="0" fontId="2" fillId="0" borderId="0" xfId="0" applyFont="1" applyAlignment="1">
      <alignment vertical="top"/>
    </xf>
    <xf numFmtId="0" fontId="1" fillId="0" borderId="0" xfId="0" applyFont="1" applyAlignment="1">
      <alignment horizontal="left" vertical="top" wrapText="1"/>
    </xf>
    <xf numFmtId="11" fontId="5" fillId="0" borderId="0" xfId="0" applyNumberFormat="1" applyFont="1" applyAlignment="1">
      <alignment horizontal="left" vertical="top" wrapText="1"/>
    </xf>
    <xf numFmtId="11" fontId="1" fillId="0" borderId="0" xfId="0" applyNumberFormat="1"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1" fontId="2" fillId="0" borderId="0" xfId="0" applyNumberFormat="1" applyFont="1" applyAlignment="1">
      <alignment horizontal="left" vertical="top"/>
    </xf>
    <xf numFmtId="0" fontId="6" fillId="0" borderId="0" xfId="0" applyFont="1" applyAlignment="1">
      <alignment wrapText="1"/>
    </xf>
    <xf numFmtId="0" fontId="6" fillId="0" borderId="0" xfId="0" applyFont="1"/>
    <xf numFmtId="0" fontId="6" fillId="0" borderId="0" xfId="0" applyFont="1" applyAlignment="1">
      <alignment horizontal="left" vertical="top"/>
    </xf>
    <xf numFmtId="0" fontId="2" fillId="0" borderId="4" xfId="0" applyFont="1" applyBorder="1" applyAlignment="1">
      <alignment horizontal="left" vertical="top"/>
    </xf>
    <xf numFmtId="0" fontId="0" fillId="0" borderId="0" xfId="0" applyAlignment="1">
      <alignment horizontal="left"/>
    </xf>
    <xf numFmtId="3" fontId="3" fillId="0" borderId="0" xfId="0" applyNumberFormat="1" applyFont="1" applyAlignment="1">
      <alignment horizontal="left" vertical="top"/>
    </xf>
    <xf numFmtId="0" fontId="0" fillId="0" borderId="6" xfId="0" applyBorder="1"/>
    <xf numFmtId="165" fontId="2" fillId="0" borderId="6" xfId="0" applyNumberFormat="1" applyFont="1" applyBorder="1" applyAlignment="1">
      <alignment horizontal="left" vertical="top"/>
    </xf>
    <xf numFmtId="166" fontId="2" fillId="0" borderId="6" xfId="0" applyNumberFormat="1" applyFont="1" applyBorder="1" applyAlignment="1">
      <alignment horizontal="left" vertical="top"/>
    </xf>
    <xf numFmtId="167" fontId="2" fillId="0" borderId="6" xfId="0" applyNumberFormat="1" applyFont="1" applyBorder="1" applyAlignment="1">
      <alignment horizontal="left" vertical="top"/>
    </xf>
    <xf numFmtId="168" fontId="2" fillId="0" borderId="6" xfId="0" applyNumberFormat="1" applyFont="1" applyBorder="1" applyAlignment="1">
      <alignment horizontal="left" vertical="top"/>
    </xf>
    <xf numFmtId="169" fontId="2" fillId="0" borderId="6" xfId="0" applyNumberFormat="1" applyFont="1" applyBorder="1" applyAlignment="1">
      <alignment horizontal="left" vertical="top"/>
    </xf>
    <xf numFmtId="170" fontId="2" fillId="0" borderId="6" xfId="0" applyNumberFormat="1" applyFont="1" applyBorder="1" applyAlignment="1">
      <alignment horizontal="left" vertical="top"/>
    </xf>
    <xf numFmtId="0" fontId="5" fillId="2" borderId="0" xfId="0" applyFont="1" applyFill="1" applyAlignment="1">
      <alignment horizontal="left" vertical="top" wrapText="1"/>
    </xf>
    <xf numFmtId="0" fontId="3" fillId="2" borderId="0" xfId="0" applyFont="1" applyFill="1" applyAlignment="1">
      <alignment horizontal="left" vertical="top"/>
    </xf>
    <xf numFmtId="11" fontId="3" fillId="2" borderId="0" xfId="0" applyNumberFormat="1" applyFont="1" applyFill="1" applyAlignment="1">
      <alignment horizontal="left" vertical="top"/>
    </xf>
    <xf numFmtId="11" fontId="2" fillId="2" borderId="0" xfId="0" applyNumberFormat="1" applyFont="1" applyFill="1" applyAlignment="1">
      <alignment horizontal="left" vertical="top"/>
    </xf>
    <xf numFmtId="0" fontId="2" fillId="2" borderId="0" xfId="0" applyFont="1" applyFill="1" applyAlignment="1">
      <alignment horizontal="left" vertical="top"/>
    </xf>
    <xf numFmtId="11" fontId="1" fillId="2" borderId="0" xfId="0" applyNumberFormat="1" applyFont="1" applyFill="1" applyAlignment="1">
      <alignment horizontal="left" vertical="top" wrapText="1"/>
    </xf>
    <xf numFmtId="11" fontId="5" fillId="2" borderId="0" xfId="0" applyNumberFormat="1" applyFont="1" applyFill="1" applyAlignment="1">
      <alignment horizontal="left" vertical="top" wrapText="1"/>
    </xf>
    <xf numFmtId="11" fontId="0" fillId="0" borderId="0" xfId="0" applyNumberFormat="1"/>
    <xf numFmtId="171" fontId="2" fillId="0" borderId="6" xfId="0" applyNumberFormat="1" applyFont="1" applyBorder="1" applyAlignment="1">
      <alignment horizontal="left" vertical="top"/>
    </xf>
    <xf numFmtId="0" fontId="2" fillId="0" borderId="2" xfId="0" applyFont="1" applyBorder="1"/>
    <xf numFmtId="0" fontId="0" fillId="0" borderId="1" xfId="0" applyBorder="1"/>
    <xf numFmtId="164" fontId="2" fillId="0" borderId="0" xfId="0" applyNumberFormat="1" applyFont="1" applyAlignment="1">
      <alignment horizontal="center" vertical="top"/>
    </xf>
    <xf numFmtId="164" fontId="2" fillId="0" borderId="0" xfId="0" applyNumberFormat="1" applyFont="1" applyAlignment="1">
      <alignment horizontal="left" vertical="top"/>
    </xf>
    <xf numFmtId="0" fontId="2" fillId="0" borderId="0" xfId="0" applyFont="1" applyAlignment="1">
      <alignment wrapText="1"/>
    </xf>
    <xf numFmtId="0" fontId="10" fillId="0" borderId="0" xfId="0" applyFont="1"/>
    <xf numFmtId="11" fontId="2" fillId="0" borderId="0" xfId="0" applyNumberFormat="1" applyFont="1" applyAlignment="1">
      <alignment horizontal="left" vertical="top" wrapText="1"/>
    </xf>
    <xf numFmtId="2" fontId="1" fillId="0" borderId="0" xfId="0" applyNumberFormat="1" applyFont="1" applyAlignment="1">
      <alignment horizontal="left" vertical="top" wrapText="1"/>
    </xf>
    <xf numFmtId="2" fontId="2" fillId="0" borderId="0" xfId="0" applyNumberFormat="1" applyFont="1" applyAlignment="1">
      <alignment horizontal="left" vertical="top" wrapText="1"/>
    </xf>
    <xf numFmtId="10" fontId="2" fillId="0" borderId="0" xfId="0" applyNumberFormat="1" applyFont="1" applyAlignment="1">
      <alignment horizontal="left" vertical="top" wrapText="1"/>
    </xf>
    <xf numFmtId="172" fontId="2" fillId="0" borderId="0" xfId="0" applyNumberFormat="1" applyFont="1" applyAlignment="1">
      <alignment horizontal="left" vertical="top" wrapText="1"/>
    </xf>
    <xf numFmtId="0" fontId="10" fillId="0" borderId="0" xfId="0" applyFont="1" applyAlignment="1">
      <alignment horizontal="left" vertical="top"/>
    </xf>
    <xf numFmtId="11" fontId="11" fillId="0" borderId="0" xfId="0" applyNumberFormat="1" applyFont="1" applyAlignment="1">
      <alignment horizontal="left" vertical="top" wrapText="1"/>
    </xf>
    <xf numFmtId="0" fontId="11" fillId="0" borderId="0" xfId="0" applyFont="1" applyAlignment="1">
      <alignment horizontal="left" vertical="top" wrapText="1"/>
    </xf>
    <xf numFmtId="2" fontId="11" fillId="0" borderId="0" xfId="0" applyNumberFormat="1" applyFont="1" applyAlignment="1">
      <alignment horizontal="left" vertical="top" wrapText="1"/>
    </xf>
    <xf numFmtId="172" fontId="11" fillId="0" borderId="0" xfId="0" applyNumberFormat="1" applyFont="1" applyAlignment="1">
      <alignment horizontal="left" vertical="top" wrapText="1"/>
    </xf>
    <xf numFmtId="0" fontId="2" fillId="2" borderId="0" xfId="0" applyFont="1" applyFill="1" applyAlignment="1">
      <alignment horizontal="left" vertical="top" wrapText="1"/>
    </xf>
    <xf numFmtId="172" fontId="2" fillId="2" borderId="0" xfId="0" applyNumberFormat="1" applyFont="1" applyFill="1" applyAlignment="1">
      <alignment horizontal="left" vertical="top" wrapText="1"/>
    </xf>
    <xf numFmtId="11" fontId="2" fillId="2" borderId="0" xfId="0" applyNumberFormat="1" applyFont="1" applyFill="1" applyAlignment="1">
      <alignment horizontal="left" vertical="top" wrapText="1"/>
    </xf>
    <xf numFmtId="0" fontId="11" fillId="2" borderId="0" xfId="0" applyFont="1" applyFill="1" applyAlignment="1">
      <alignment horizontal="left" vertical="top" wrapText="1"/>
    </xf>
    <xf numFmtId="2" fontId="11" fillId="2" borderId="0" xfId="0" applyNumberFormat="1" applyFont="1" applyFill="1" applyAlignment="1">
      <alignment horizontal="left" vertical="top" wrapText="1"/>
    </xf>
    <xf numFmtId="172" fontId="11" fillId="2" borderId="0" xfId="0" applyNumberFormat="1" applyFont="1" applyFill="1" applyAlignment="1">
      <alignment horizontal="left" vertical="top" wrapText="1"/>
    </xf>
    <xf numFmtId="2" fontId="0" fillId="0" borderId="0" xfId="0" applyNumberFormat="1" applyAlignment="1">
      <alignment horizontal="left" vertical="top"/>
    </xf>
    <xf numFmtId="11" fontId="0" fillId="0" borderId="0" xfId="0" applyNumberFormat="1" applyAlignment="1">
      <alignment horizontal="left" vertical="top"/>
    </xf>
    <xf numFmtId="0" fontId="13" fillId="0" borderId="0" xfId="2"/>
    <xf numFmtId="0" fontId="14" fillId="0" borderId="0" xfId="2" applyFont="1" applyAlignment="1">
      <alignment horizontal="left"/>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horizontal="left" vertical="top"/>
    </xf>
    <xf numFmtId="0" fontId="18" fillId="0" borderId="0" xfId="0" applyFont="1" applyAlignment="1">
      <alignment horizontal="left" vertical="top" wrapText="1"/>
    </xf>
    <xf numFmtId="0" fontId="19" fillId="0" borderId="0" xfId="0" applyFont="1" applyAlignment="1">
      <alignment horizontal="left" vertical="top" wrapText="1"/>
    </xf>
    <xf numFmtId="0" fontId="17" fillId="0" borderId="0" xfId="0" applyFont="1" applyAlignment="1">
      <alignment horizontal="left" vertical="top"/>
    </xf>
    <xf numFmtId="0" fontId="20" fillId="0" borderId="0" xfId="0" applyFont="1"/>
    <xf numFmtId="0" fontId="0" fillId="0" borderId="0" xfId="0" pivotButton="1"/>
    <xf numFmtId="0" fontId="0" fillId="0" borderId="0" xfId="0" applyAlignment="1">
      <alignment horizontal="left" indent="1"/>
    </xf>
    <xf numFmtId="11" fontId="10" fillId="0" borderId="0" xfId="0" applyNumberFormat="1" applyFont="1" applyAlignment="1">
      <alignment horizontal="left" vertical="top"/>
    </xf>
    <xf numFmtId="170" fontId="11" fillId="0" borderId="0" xfId="0" applyNumberFormat="1" applyFont="1" applyAlignment="1">
      <alignment horizontal="left" vertical="top" wrapText="1"/>
    </xf>
    <xf numFmtId="170" fontId="2" fillId="0" borderId="0" xfId="0" applyNumberFormat="1" applyFont="1" applyAlignment="1">
      <alignment horizontal="left" vertical="top" wrapText="1"/>
    </xf>
    <xf numFmtId="172" fontId="0" fillId="0" borderId="0" xfId="0" applyNumberFormat="1" applyAlignment="1">
      <alignment horizontal="left" vertical="top"/>
    </xf>
    <xf numFmtId="3" fontId="2" fillId="0" borderId="0" xfId="0" applyNumberFormat="1" applyFont="1"/>
    <xf numFmtId="174" fontId="11" fillId="0" borderId="0" xfId="0" applyNumberFormat="1" applyFont="1" applyAlignment="1">
      <alignment horizontal="left" vertical="top" wrapText="1"/>
    </xf>
    <xf numFmtId="0" fontId="13" fillId="0" borderId="0" xfId="2" applyAlignment="1">
      <alignment horizontal="left"/>
    </xf>
    <xf numFmtId="0" fontId="15" fillId="0" borderId="0" xfId="2" applyFont="1" applyAlignment="1">
      <alignment horizontal="left"/>
    </xf>
    <xf numFmtId="0" fontId="15" fillId="0" borderId="0" xfId="2" applyFont="1"/>
    <xf numFmtId="2" fontId="2" fillId="2" borderId="0" xfId="0" applyNumberFormat="1" applyFont="1" applyFill="1" applyAlignment="1">
      <alignment horizontal="left" vertical="top" wrapText="1"/>
    </xf>
    <xf numFmtId="0" fontId="10" fillId="3" borderId="0" xfId="0" applyFont="1" applyFill="1" applyAlignment="1">
      <alignment horizontal="left" vertical="top"/>
    </xf>
    <xf numFmtId="0" fontId="0" fillId="3" borderId="0" xfId="0" applyFill="1"/>
    <xf numFmtId="0" fontId="10" fillId="0" borderId="0" xfId="0" applyFont="1" applyAlignment="1">
      <alignment horizontal="left" vertical="top" wrapText="1"/>
    </xf>
    <xf numFmtId="1" fontId="2" fillId="0" borderId="0" xfId="0" applyNumberFormat="1" applyFont="1" applyAlignment="1">
      <alignment horizontal="left" vertical="top" wrapText="1"/>
    </xf>
    <xf numFmtId="0" fontId="2" fillId="0" borderId="0" xfId="0" quotePrefix="1" applyFont="1" applyAlignment="1">
      <alignment horizontal="left" vertical="top" wrapText="1"/>
    </xf>
    <xf numFmtId="11" fontId="22" fillId="0" borderId="0" xfId="0" applyNumberFormat="1" applyFont="1" applyAlignment="1">
      <alignment horizontal="left" vertical="top"/>
    </xf>
    <xf numFmtId="0" fontId="21" fillId="0" borderId="0" xfId="0" applyFont="1" applyAlignment="1">
      <alignment horizontal="left" vertical="top" wrapText="1"/>
    </xf>
    <xf numFmtId="1" fontId="1" fillId="0" borderId="0" xfId="0" applyNumberFormat="1" applyFont="1" applyAlignment="1">
      <alignment horizontal="left" vertical="top" wrapText="1"/>
    </xf>
    <xf numFmtId="1" fontId="2" fillId="2" borderId="0" xfId="0" applyNumberFormat="1" applyFont="1" applyFill="1" applyAlignment="1">
      <alignment horizontal="left" vertical="top" wrapText="1"/>
    </xf>
    <xf numFmtId="175" fontId="2" fillId="0" borderId="0" xfId="3" applyNumberFormat="1" applyFont="1" applyAlignment="1">
      <alignment horizontal="left" vertical="top" wrapText="1"/>
    </xf>
    <xf numFmtId="175" fontId="2" fillId="0" borderId="0" xfId="3" applyNumberFormat="1" applyFont="1" applyAlignment="1">
      <alignment vertical="top" wrapText="1"/>
    </xf>
    <xf numFmtId="0" fontId="25" fillId="0" borderId="0" xfId="0" applyFont="1" applyAlignment="1">
      <alignment horizontal="left" vertical="top"/>
    </xf>
    <xf numFmtId="0" fontId="26" fillId="0" borderId="0" xfId="0" applyFont="1" applyAlignment="1">
      <alignment horizontal="left" vertical="top"/>
    </xf>
    <xf numFmtId="0" fontId="25" fillId="0" borderId="0" xfId="0" applyFont="1" applyAlignment="1">
      <alignment horizontal="left" vertical="top" wrapText="1"/>
    </xf>
    <xf numFmtId="2" fontId="25" fillId="0" borderId="0" xfId="0" applyNumberFormat="1" applyFont="1" applyAlignment="1">
      <alignment horizontal="left" vertical="top"/>
    </xf>
    <xf numFmtId="0" fontId="26" fillId="0" borderId="0" xfId="0" applyFont="1" applyAlignment="1">
      <alignment horizontal="left" vertical="top" wrapText="1"/>
    </xf>
    <xf numFmtId="0" fontId="26" fillId="0" borderId="2" xfId="0" applyFont="1" applyBorder="1" applyAlignment="1">
      <alignment horizontal="left" vertical="top" wrapText="1"/>
    </xf>
    <xf numFmtId="0" fontId="25" fillId="0" borderId="2" xfId="0" applyFont="1" applyBorder="1" applyAlignment="1">
      <alignment horizontal="left" vertical="top" wrapText="1"/>
    </xf>
    <xf numFmtId="2" fontId="26" fillId="0" borderId="2" xfId="0" applyNumberFormat="1" applyFont="1" applyBorder="1" applyAlignment="1">
      <alignment horizontal="left" vertical="top" wrapText="1"/>
    </xf>
    <xf numFmtId="176" fontId="25" fillId="0" borderId="0" xfId="0" applyNumberFormat="1" applyFont="1" applyAlignment="1">
      <alignment horizontal="left" vertical="top"/>
    </xf>
    <xf numFmtId="176" fontId="27" fillId="0" borderId="0" xfId="1" applyNumberFormat="1" applyFont="1" applyAlignment="1">
      <alignment horizontal="left" vertical="top" wrapText="1"/>
    </xf>
    <xf numFmtId="176" fontId="25" fillId="0" borderId="0" xfId="0" applyNumberFormat="1" applyFont="1" applyAlignment="1">
      <alignment horizontal="left" vertical="top" wrapText="1"/>
    </xf>
    <xf numFmtId="0" fontId="26" fillId="0" borderId="1" xfId="0" applyFont="1" applyBorder="1" applyAlignment="1">
      <alignment horizontal="left" vertical="top" wrapText="1"/>
    </xf>
    <xf numFmtId="0" fontId="25" fillId="0" borderId="1" xfId="0" applyFont="1" applyBorder="1" applyAlignment="1">
      <alignment horizontal="left" vertical="top" wrapText="1"/>
    </xf>
    <xf numFmtId="0" fontId="25" fillId="0" borderId="1" xfId="0" applyFont="1" applyBorder="1" applyAlignment="1">
      <alignment horizontal="left" vertical="top"/>
    </xf>
    <xf numFmtId="2" fontId="25" fillId="0" borderId="1" xfId="0" applyNumberFormat="1" applyFont="1" applyBorder="1" applyAlignment="1">
      <alignment horizontal="left" vertical="top"/>
    </xf>
    <xf numFmtId="0" fontId="25" fillId="0" borderId="2" xfId="0" applyFont="1" applyBorder="1" applyAlignment="1">
      <alignment horizontal="left" vertical="top"/>
    </xf>
    <xf numFmtId="2" fontId="25" fillId="0" borderId="2" xfId="0" applyNumberFormat="1" applyFont="1" applyBorder="1" applyAlignment="1">
      <alignment horizontal="left" vertical="top"/>
    </xf>
    <xf numFmtId="0" fontId="28" fillId="0" borderId="0" xfId="0" applyFont="1" applyAlignment="1">
      <alignment horizontal="left" vertical="top"/>
    </xf>
    <xf numFmtId="172" fontId="25" fillId="0" borderId="0" xfId="0" applyNumberFormat="1" applyFont="1" applyAlignment="1">
      <alignment horizontal="left" vertical="top" wrapText="1"/>
    </xf>
    <xf numFmtId="172" fontId="26" fillId="0" borderId="2" xfId="0" applyNumberFormat="1" applyFont="1" applyBorder="1" applyAlignment="1">
      <alignment horizontal="left" vertical="top" wrapText="1"/>
    </xf>
    <xf numFmtId="172" fontId="25" fillId="0" borderId="1" xfId="0" applyNumberFormat="1" applyFont="1" applyBorder="1" applyAlignment="1">
      <alignment horizontal="left" vertical="top" wrapText="1"/>
    </xf>
    <xf numFmtId="172" fontId="25" fillId="0" borderId="2" xfId="0" applyNumberFormat="1" applyFont="1" applyBorder="1" applyAlignment="1">
      <alignment horizontal="left" vertical="top" wrapText="1"/>
    </xf>
    <xf numFmtId="176" fontId="26" fillId="0" borderId="2" xfId="0" applyNumberFormat="1" applyFont="1" applyBorder="1" applyAlignment="1">
      <alignment horizontal="left" vertical="top" wrapText="1"/>
    </xf>
    <xf numFmtId="176" fontId="25" fillId="0" borderId="1" xfId="0" applyNumberFormat="1" applyFont="1" applyBorder="1" applyAlignment="1">
      <alignment horizontal="left" vertical="top" wrapText="1"/>
    </xf>
    <xf numFmtId="176" fontId="25" fillId="0" borderId="2" xfId="0" applyNumberFormat="1" applyFont="1" applyBorder="1" applyAlignment="1">
      <alignment horizontal="left" vertical="top" wrapText="1"/>
    </xf>
    <xf numFmtId="2" fontId="10" fillId="0" borderId="0" xfId="0" applyNumberFormat="1" applyFont="1" applyAlignment="1">
      <alignment horizontal="left" vertical="top"/>
    </xf>
    <xf numFmtId="172" fontId="10" fillId="0" borderId="0" xfId="0" applyNumberFormat="1" applyFont="1" applyAlignment="1">
      <alignment horizontal="left" vertical="top"/>
    </xf>
    <xf numFmtId="0" fontId="29" fillId="0" borderId="0" xfId="0" applyFont="1" applyAlignment="1">
      <alignment horizontal="left" vertical="top" wrapText="1"/>
    </xf>
    <xf numFmtId="2" fontId="13" fillId="0" borderId="0" xfId="2" applyNumberFormat="1" applyAlignment="1">
      <alignment horizontal="left"/>
    </xf>
    <xf numFmtId="173" fontId="13" fillId="0" borderId="0" xfId="2" applyNumberFormat="1" applyAlignment="1">
      <alignment horizontal="left"/>
    </xf>
    <xf numFmtId="0" fontId="30" fillId="0" borderId="0" xfId="4" applyAlignment="1">
      <alignment horizontal="left" vertical="top" wrapText="1"/>
    </xf>
    <xf numFmtId="2" fontId="0" fillId="0" borderId="0" xfId="0" applyNumberFormat="1" applyAlignment="1">
      <alignment horizontal="left"/>
    </xf>
    <xf numFmtId="11" fontId="0" fillId="0" borderId="0" xfId="0" applyNumberFormat="1" applyAlignment="1">
      <alignment horizontal="left"/>
    </xf>
    <xf numFmtId="0" fontId="2" fillId="0" borderId="4" xfId="0" applyFont="1" applyBorder="1" applyAlignment="1">
      <alignment horizontal="left" vertical="top"/>
    </xf>
    <xf numFmtId="0" fontId="2" fillId="0" borderId="3" xfId="0" applyFont="1" applyBorder="1" applyAlignment="1">
      <alignment horizontal="left" vertical="top"/>
    </xf>
    <xf numFmtId="0" fontId="2" fillId="0" borderId="5" xfId="0" applyFont="1" applyBorder="1" applyAlignment="1">
      <alignment horizontal="left" vertical="top"/>
    </xf>
    <xf numFmtId="11" fontId="2" fillId="0" borderId="4" xfId="0" applyNumberFormat="1" applyFont="1" applyBorder="1" applyAlignment="1">
      <alignment horizontal="left" vertical="top"/>
    </xf>
    <xf numFmtId="11" fontId="2" fillId="0" borderId="3" xfId="0" applyNumberFormat="1" applyFont="1" applyBorder="1" applyAlignment="1">
      <alignment horizontal="left" vertical="top"/>
    </xf>
    <xf numFmtId="11" fontId="2" fillId="0" borderId="5" xfId="0" applyNumberFormat="1" applyFont="1" applyBorder="1" applyAlignment="1">
      <alignment horizontal="left" vertical="top"/>
    </xf>
    <xf numFmtId="164" fontId="2" fillId="0" borderId="4" xfId="0" applyNumberFormat="1" applyFont="1" applyBorder="1" applyAlignment="1">
      <alignment horizontal="left" vertical="top"/>
    </xf>
    <xf numFmtId="164" fontId="2" fillId="0" borderId="3" xfId="0" applyNumberFormat="1" applyFont="1" applyBorder="1" applyAlignment="1">
      <alignment horizontal="left" vertical="top"/>
    </xf>
    <xf numFmtId="164" fontId="2" fillId="0" borderId="5" xfId="0" applyNumberFormat="1" applyFont="1" applyBorder="1" applyAlignment="1">
      <alignment horizontal="left" vertical="top"/>
    </xf>
    <xf numFmtId="0" fontId="2" fillId="0" borderId="4" xfId="0" applyFont="1" applyBorder="1" applyAlignment="1">
      <alignment horizontal="center" vertical="top"/>
    </xf>
    <xf numFmtId="0" fontId="2" fillId="0" borderId="3" xfId="0" applyFont="1" applyBorder="1" applyAlignment="1">
      <alignment horizontal="center" vertical="top"/>
    </xf>
    <xf numFmtId="0" fontId="2" fillId="0" borderId="5" xfId="0" applyFont="1" applyBorder="1" applyAlignment="1">
      <alignment horizontal="center" vertical="top"/>
    </xf>
    <xf numFmtId="164" fontId="2" fillId="0" borderId="4" xfId="0" applyNumberFormat="1" applyFont="1" applyBorder="1" applyAlignment="1">
      <alignment horizontal="center" vertical="top"/>
    </xf>
    <xf numFmtId="164" fontId="2" fillId="0" borderId="3" xfId="0" applyNumberFormat="1" applyFont="1" applyBorder="1" applyAlignment="1">
      <alignment horizontal="center" vertical="top"/>
    </xf>
    <xf numFmtId="164" fontId="2" fillId="0" borderId="5" xfId="0" applyNumberFormat="1" applyFont="1" applyBorder="1" applyAlignment="1">
      <alignment horizontal="center" vertical="top"/>
    </xf>
  </cellXfs>
  <cellStyles count="5">
    <cellStyle name="Comma" xfId="3" builtinId="3"/>
    <cellStyle name="Hyperlink" xfId="4" builtinId="8"/>
    <cellStyle name="Normal" xfId="0" builtinId="0"/>
    <cellStyle name="Normal 2" xfId="1" xr:uid="{C41894E4-48B5-4D7E-8331-E7B9E0E402DA}"/>
    <cellStyle name="Normal 3" xfId="2" xr:uid="{8706B16F-861E-405A-8050-3F419DAB8C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none"/>
          </c:marker>
          <c:xVal>
            <c:numRef>
              <c:f>'9 fig. 1'!$E$3:$E$4</c:f>
              <c:numCache>
                <c:formatCode>General</c:formatCode>
                <c:ptCount val="2"/>
                <c:pt idx="0">
                  <c:v>1.0000000000000001E-17</c:v>
                </c:pt>
                <c:pt idx="1">
                  <c:v>1.0000000000000001E-15</c:v>
                </c:pt>
              </c:numCache>
            </c:numRef>
          </c:xVal>
          <c:yVal>
            <c:numRef>
              <c:f>'9 fig. 1'!$F$3:$F$4</c:f>
              <c:numCache>
                <c:formatCode>General</c:formatCode>
                <c:ptCount val="2"/>
                <c:pt idx="0">
                  <c:v>11</c:v>
                </c:pt>
                <c:pt idx="1">
                  <c:v>11</c:v>
                </c:pt>
              </c:numCache>
            </c:numRef>
          </c:yVal>
          <c:smooth val="1"/>
          <c:extLst>
            <c:ext xmlns:c16="http://schemas.microsoft.com/office/drawing/2014/chart" uri="{C3380CC4-5D6E-409C-BE32-E72D297353CC}">
              <c16:uniqueId val="{00000000-3BE1-457E-8909-8892DFB6429D}"/>
            </c:ext>
          </c:extLst>
        </c:ser>
        <c:ser>
          <c:idx val="1"/>
          <c:order val="1"/>
          <c:tx>
            <c:v>bacteria</c:v>
          </c:tx>
          <c:spPr>
            <a:ln w="19050" cap="rnd">
              <a:solidFill>
                <a:schemeClr val="accent3"/>
              </a:solidFill>
              <a:round/>
            </a:ln>
            <a:effectLst/>
          </c:spPr>
          <c:marker>
            <c:symbol val="none"/>
          </c:marker>
          <c:xVal>
            <c:numRef>
              <c:f>'9 fig. 1'!$E$5:$E$6</c:f>
              <c:numCache>
                <c:formatCode>General</c:formatCode>
                <c:ptCount val="2"/>
                <c:pt idx="0">
                  <c:v>5E-15</c:v>
                </c:pt>
                <c:pt idx="1">
                  <c:v>5.8849999999999997E-13</c:v>
                </c:pt>
              </c:numCache>
            </c:numRef>
          </c:xVal>
          <c:yVal>
            <c:numRef>
              <c:f>'9 fig. 1'!$F$5:$F$6</c:f>
              <c:numCache>
                <c:formatCode>General</c:formatCode>
                <c:ptCount val="2"/>
                <c:pt idx="0">
                  <c:v>10</c:v>
                </c:pt>
                <c:pt idx="1">
                  <c:v>10</c:v>
                </c:pt>
              </c:numCache>
            </c:numRef>
          </c:yVal>
          <c:smooth val="1"/>
          <c:extLst>
            <c:ext xmlns:c16="http://schemas.microsoft.com/office/drawing/2014/chart" uri="{C3380CC4-5D6E-409C-BE32-E72D297353CC}">
              <c16:uniqueId val="{00000001-3BE1-457E-8909-8892DFB6429D}"/>
            </c:ext>
          </c:extLst>
        </c:ser>
        <c:ser>
          <c:idx val="2"/>
          <c:order val="2"/>
          <c:tx>
            <c:v>macroinverts</c:v>
          </c:tx>
          <c:spPr>
            <a:ln w="19050" cap="rnd">
              <a:solidFill>
                <a:schemeClr val="accent5"/>
              </a:solidFill>
              <a:round/>
            </a:ln>
            <a:effectLst/>
          </c:spPr>
          <c:marker>
            <c:symbol val="none"/>
          </c:marker>
          <c:xVal>
            <c:numRef>
              <c:f>'9 fig. 1'!$E$11:$E$12</c:f>
              <c:numCache>
                <c:formatCode>0.00E+00</c:formatCode>
                <c:ptCount val="2"/>
                <c:pt idx="0">
                  <c:v>1.4999999999999999E-7</c:v>
                </c:pt>
                <c:pt idx="1">
                  <c:v>1</c:v>
                </c:pt>
              </c:numCache>
            </c:numRef>
          </c:xVal>
          <c:yVal>
            <c:numRef>
              <c:f>'9 fig. 1'!$F$11:$F$12</c:f>
              <c:numCache>
                <c:formatCode>General</c:formatCode>
                <c:ptCount val="2"/>
                <c:pt idx="0">
                  <c:v>9</c:v>
                </c:pt>
                <c:pt idx="1">
                  <c:v>9</c:v>
                </c:pt>
              </c:numCache>
            </c:numRef>
          </c:yVal>
          <c:smooth val="1"/>
          <c:extLst>
            <c:ext xmlns:c16="http://schemas.microsoft.com/office/drawing/2014/chart" uri="{C3380CC4-5D6E-409C-BE32-E72D297353CC}">
              <c16:uniqueId val="{00000002-3BE1-457E-8909-8892DFB6429D}"/>
            </c:ext>
          </c:extLst>
        </c:ser>
        <c:ser>
          <c:idx val="3"/>
          <c:order val="3"/>
          <c:tx>
            <c:v>protists</c:v>
          </c:tx>
          <c:spPr>
            <a:ln w="19050" cap="rnd">
              <a:solidFill>
                <a:schemeClr val="accent1">
                  <a:lumMod val="60000"/>
                </a:schemeClr>
              </a:solidFill>
              <a:round/>
            </a:ln>
            <a:effectLst/>
          </c:spPr>
          <c:marker>
            <c:symbol val="none"/>
          </c:marker>
          <c:xVal>
            <c:numRef>
              <c:f>'9 fig. 1'!$E$7:$E$8</c:f>
              <c:numCache>
                <c:formatCode>0.00E+00</c:formatCode>
                <c:ptCount val="2"/>
                <c:pt idx="0" formatCode="General">
                  <c:v>1.4398966328953216E-11</c:v>
                </c:pt>
                <c:pt idx="1">
                  <c:v>2.5918139392115797E-6</c:v>
                </c:pt>
              </c:numCache>
            </c:numRef>
          </c:xVal>
          <c:yVal>
            <c:numRef>
              <c:f>'9 fig. 1'!$F$7:$F$8</c:f>
              <c:numCache>
                <c:formatCode>General</c:formatCode>
                <c:ptCount val="2"/>
                <c:pt idx="0">
                  <c:v>5</c:v>
                </c:pt>
                <c:pt idx="1">
                  <c:v>5</c:v>
                </c:pt>
              </c:numCache>
            </c:numRef>
          </c:yVal>
          <c:smooth val="1"/>
          <c:extLst>
            <c:ext xmlns:c16="http://schemas.microsoft.com/office/drawing/2014/chart" uri="{C3380CC4-5D6E-409C-BE32-E72D297353CC}">
              <c16:uniqueId val="{00000003-3BE1-457E-8909-8892DFB6429D}"/>
            </c:ext>
          </c:extLst>
        </c:ser>
        <c:ser>
          <c:idx val="4"/>
          <c:order val="4"/>
          <c:tx>
            <c:v>micrometazoans</c:v>
          </c:tx>
          <c:spPr>
            <a:ln w="19050" cap="rnd">
              <a:solidFill>
                <a:schemeClr val="accent3">
                  <a:lumMod val="60000"/>
                </a:schemeClr>
              </a:solidFill>
              <a:round/>
            </a:ln>
            <a:effectLst/>
          </c:spPr>
          <c:marker>
            <c:symbol val="none"/>
          </c:marker>
          <c:xVal>
            <c:numRef>
              <c:f>'9 fig. 1'!$E$9:$E$10</c:f>
              <c:numCache>
                <c:formatCode>0.00E+00</c:formatCode>
                <c:ptCount val="2"/>
                <c:pt idx="0">
                  <c:v>1.0000000000000001E-9</c:v>
                </c:pt>
                <c:pt idx="1">
                  <c:v>1.0000000000000001E-5</c:v>
                </c:pt>
              </c:numCache>
            </c:numRef>
          </c:xVal>
          <c:yVal>
            <c:numRef>
              <c:f>'9 fig. 1'!$F$9:$F$10</c:f>
              <c:numCache>
                <c:formatCode>General</c:formatCode>
                <c:ptCount val="2"/>
                <c:pt idx="0">
                  <c:v>3</c:v>
                </c:pt>
                <c:pt idx="1">
                  <c:v>3</c:v>
                </c:pt>
              </c:numCache>
            </c:numRef>
          </c:yVal>
          <c:smooth val="1"/>
          <c:extLst>
            <c:ext xmlns:c16="http://schemas.microsoft.com/office/drawing/2014/chart" uri="{C3380CC4-5D6E-409C-BE32-E72D297353CC}">
              <c16:uniqueId val="{00000004-3BE1-457E-8909-8892DFB6429D}"/>
            </c:ext>
          </c:extLst>
        </c:ser>
        <c:ser>
          <c:idx val="5"/>
          <c:order val="5"/>
          <c:tx>
            <c:v>atto</c:v>
          </c:tx>
          <c:spPr>
            <a:ln w="19050" cap="rnd">
              <a:solidFill>
                <a:schemeClr val="accent5">
                  <a:lumMod val="60000"/>
                </a:schemeClr>
              </a:solidFill>
              <a:round/>
            </a:ln>
            <a:effectLst/>
          </c:spPr>
          <c:marker>
            <c:symbol val="none"/>
          </c:marker>
          <c:xVal>
            <c:numRef>
              <c:f>'9 fig. 1'!$E$23:$E$24</c:f>
              <c:numCache>
                <c:formatCode>0.00E+00</c:formatCode>
                <c:ptCount val="2"/>
                <c:pt idx="0">
                  <c:v>1.0000000000000001E-15</c:v>
                </c:pt>
                <c:pt idx="1">
                  <c:v>1.0000000000000001E-18</c:v>
                </c:pt>
              </c:numCache>
            </c:numRef>
          </c:xVal>
          <c:yVal>
            <c:numRef>
              <c:f>'9 fig. 1'!$F$23:$F$24</c:f>
              <c:numCache>
                <c:formatCode>General</c:formatCode>
                <c:ptCount val="2"/>
                <c:pt idx="0">
                  <c:v>1</c:v>
                </c:pt>
                <c:pt idx="1">
                  <c:v>1</c:v>
                </c:pt>
              </c:numCache>
            </c:numRef>
          </c:yVal>
          <c:smooth val="1"/>
          <c:extLst>
            <c:ext xmlns:c16="http://schemas.microsoft.com/office/drawing/2014/chart" uri="{C3380CC4-5D6E-409C-BE32-E72D297353CC}">
              <c16:uniqueId val="{00000005-3BE1-457E-8909-8892DFB6429D}"/>
            </c:ext>
          </c:extLst>
        </c:ser>
        <c:ser>
          <c:idx val="6"/>
          <c:order val="6"/>
          <c:tx>
            <c:v>femto</c:v>
          </c:tx>
          <c:spPr>
            <a:ln w="19050" cap="rnd">
              <a:solidFill>
                <a:schemeClr val="accent1">
                  <a:lumMod val="80000"/>
                  <a:lumOff val="20000"/>
                </a:schemeClr>
              </a:solidFill>
              <a:round/>
            </a:ln>
            <a:effectLst/>
          </c:spPr>
          <c:marker>
            <c:symbol val="none"/>
          </c:marker>
          <c:xVal>
            <c:numRef>
              <c:f>'9 fig. 1'!$E$21:$E$22</c:f>
              <c:numCache>
                <c:formatCode>0.00E+00</c:formatCode>
                <c:ptCount val="2"/>
                <c:pt idx="0">
                  <c:v>9.9999999999999998E-13</c:v>
                </c:pt>
                <c:pt idx="1">
                  <c:v>1.0000000000000001E-15</c:v>
                </c:pt>
              </c:numCache>
            </c:numRef>
          </c:xVal>
          <c:yVal>
            <c:numRef>
              <c:f>'9 fig. 1'!$F$21:$F$22</c:f>
              <c:numCache>
                <c:formatCode>General</c:formatCode>
                <c:ptCount val="2"/>
                <c:pt idx="0">
                  <c:v>1</c:v>
                </c:pt>
                <c:pt idx="1">
                  <c:v>1</c:v>
                </c:pt>
              </c:numCache>
            </c:numRef>
          </c:yVal>
          <c:smooth val="1"/>
          <c:extLst>
            <c:ext xmlns:c16="http://schemas.microsoft.com/office/drawing/2014/chart" uri="{C3380CC4-5D6E-409C-BE32-E72D297353CC}">
              <c16:uniqueId val="{00000006-3BE1-457E-8909-8892DFB6429D}"/>
            </c:ext>
          </c:extLst>
        </c:ser>
        <c:ser>
          <c:idx val="7"/>
          <c:order val="7"/>
          <c:tx>
            <c:v>pico</c:v>
          </c:tx>
          <c:spPr>
            <a:ln w="19050" cap="rnd">
              <a:solidFill>
                <a:schemeClr val="accent3">
                  <a:lumMod val="80000"/>
                  <a:lumOff val="20000"/>
                </a:schemeClr>
              </a:solidFill>
              <a:round/>
            </a:ln>
            <a:effectLst/>
          </c:spPr>
          <c:marker>
            <c:symbol val="none"/>
          </c:marker>
          <c:xVal>
            <c:numRef>
              <c:f>'9 fig. 1'!$E$19:$E$20</c:f>
              <c:numCache>
                <c:formatCode>0.00E+00</c:formatCode>
                <c:ptCount val="2"/>
                <c:pt idx="0">
                  <c:v>1.0000000000000001E-9</c:v>
                </c:pt>
                <c:pt idx="1">
                  <c:v>9.9999999999999998E-13</c:v>
                </c:pt>
              </c:numCache>
            </c:numRef>
          </c:xVal>
          <c:yVal>
            <c:numRef>
              <c:f>'9 fig. 1'!$F$19:$F$20</c:f>
              <c:numCache>
                <c:formatCode>General</c:formatCode>
                <c:ptCount val="2"/>
                <c:pt idx="0">
                  <c:v>1</c:v>
                </c:pt>
                <c:pt idx="1">
                  <c:v>1</c:v>
                </c:pt>
              </c:numCache>
            </c:numRef>
          </c:yVal>
          <c:smooth val="1"/>
          <c:extLst>
            <c:ext xmlns:c16="http://schemas.microsoft.com/office/drawing/2014/chart" uri="{C3380CC4-5D6E-409C-BE32-E72D297353CC}">
              <c16:uniqueId val="{00000007-3BE1-457E-8909-8892DFB6429D}"/>
            </c:ext>
          </c:extLst>
        </c:ser>
        <c:ser>
          <c:idx val="8"/>
          <c:order val="8"/>
          <c:tx>
            <c:v>nano</c:v>
          </c:tx>
          <c:spPr>
            <a:ln w="19050" cap="rnd">
              <a:solidFill>
                <a:schemeClr val="accent5">
                  <a:lumMod val="80000"/>
                  <a:lumOff val="20000"/>
                </a:schemeClr>
              </a:solidFill>
              <a:round/>
            </a:ln>
            <a:effectLst/>
          </c:spPr>
          <c:marker>
            <c:symbol val="none"/>
          </c:marker>
          <c:xVal>
            <c:numRef>
              <c:f>'9 fig. 1'!$E$17:$E$18</c:f>
              <c:numCache>
                <c:formatCode>0.00E+00</c:formatCode>
                <c:ptCount val="2"/>
                <c:pt idx="0">
                  <c:v>9.9999999999999995E-7</c:v>
                </c:pt>
                <c:pt idx="1">
                  <c:v>1.0000000000000001E-9</c:v>
                </c:pt>
              </c:numCache>
            </c:numRef>
          </c:xVal>
          <c:yVal>
            <c:numRef>
              <c:f>'9 fig. 1'!$F$17:$F$18</c:f>
              <c:numCache>
                <c:formatCode>General</c:formatCode>
                <c:ptCount val="2"/>
                <c:pt idx="0">
                  <c:v>1</c:v>
                </c:pt>
                <c:pt idx="1">
                  <c:v>1</c:v>
                </c:pt>
              </c:numCache>
            </c:numRef>
          </c:yVal>
          <c:smooth val="1"/>
          <c:extLst>
            <c:ext xmlns:c16="http://schemas.microsoft.com/office/drawing/2014/chart" uri="{C3380CC4-5D6E-409C-BE32-E72D297353CC}">
              <c16:uniqueId val="{00000008-3BE1-457E-8909-8892DFB6429D}"/>
            </c:ext>
          </c:extLst>
        </c:ser>
        <c:ser>
          <c:idx val="9"/>
          <c:order val="9"/>
          <c:tx>
            <c:v>micro</c:v>
          </c:tx>
          <c:spPr>
            <a:ln w="19050" cap="rnd">
              <a:solidFill>
                <a:schemeClr val="accent1">
                  <a:lumMod val="80000"/>
                </a:schemeClr>
              </a:solidFill>
              <a:round/>
            </a:ln>
            <a:effectLst/>
          </c:spPr>
          <c:marker>
            <c:symbol val="none"/>
          </c:marker>
          <c:xVal>
            <c:numRef>
              <c:f>'9 fig. 1'!$E$15:$E$16</c:f>
              <c:numCache>
                <c:formatCode>0.00E+00</c:formatCode>
                <c:ptCount val="2"/>
                <c:pt idx="0">
                  <c:v>1E-3</c:v>
                </c:pt>
                <c:pt idx="1">
                  <c:v>9.9999999999999995E-7</c:v>
                </c:pt>
              </c:numCache>
            </c:numRef>
          </c:xVal>
          <c:yVal>
            <c:numRef>
              <c:f>'9 fig. 1'!$F$15:$F$16</c:f>
              <c:numCache>
                <c:formatCode>General</c:formatCode>
                <c:ptCount val="2"/>
                <c:pt idx="0">
                  <c:v>1</c:v>
                </c:pt>
                <c:pt idx="1">
                  <c:v>1</c:v>
                </c:pt>
              </c:numCache>
            </c:numRef>
          </c:yVal>
          <c:smooth val="1"/>
          <c:extLst>
            <c:ext xmlns:c16="http://schemas.microsoft.com/office/drawing/2014/chart" uri="{C3380CC4-5D6E-409C-BE32-E72D297353CC}">
              <c16:uniqueId val="{00000009-3BE1-457E-8909-8892DFB6429D}"/>
            </c:ext>
          </c:extLst>
        </c:ser>
        <c:ser>
          <c:idx val="10"/>
          <c:order val="10"/>
          <c:tx>
            <c:v>milli</c:v>
          </c:tx>
          <c:spPr>
            <a:ln w="19050" cap="rnd">
              <a:solidFill>
                <a:schemeClr val="accent3">
                  <a:lumMod val="80000"/>
                </a:schemeClr>
              </a:solidFill>
              <a:round/>
            </a:ln>
            <a:effectLst/>
          </c:spPr>
          <c:marker>
            <c:symbol val="none"/>
          </c:marker>
          <c:xVal>
            <c:numRef>
              <c:f>'9 fig. 1'!$E$13:$E$14</c:f>
              <c:numCache>
                <c:formatCode>0.00E+00</c:formatCode>
                <c:ptCount val="2"/>
                <c:pt idx="0">
                  <c:v>1</c:v>
                </c:pt>
                <c:pt idx="1">
                  <c:v>1E-3</c:v>
                </c:pt>
              </c:numCache>
            </c:numRef>
          </c:xVal>
          <c:yVal>
            <c:numRef>
              <c:f>'9 fig. 1'!$F$13:$F$14</c:f>
              <c:numCache>
                <c:formatCode>General</c:formatCode>
                <c:ptCount val="2"/>
                <c:pt idx="0">
                  <c:v>1</c:v>
                </c:pt>
                <c:pt idx="1">
                  <c:v>1</c:v>
                </c:pt>
              </c:numCache>
            </c:numRef>
          </c:yVal>
          <c:smooth val="1"/>
          <c:extLst>
            <c:ext xmlns:c16="http://schemas.microsoft.com/office/drawing/2014/chart" uri="{C3380CC4-5D6E-409C-BE32-E72D297353CC}">
              <c16:uniqueId val="{0000000A-3BE1-457E-8909-8892DFB6429D}"/>
            </c:ext>
          </c:extLst>
        </c:ser>
        <c:dLbls>
          <c:showLegendKey val="0"/>
          <c:showVal val="0"/>
          <c:showCatName val="0"/>
          <c:showSerName val="0"/>
          <c:showPercent val="0"/>
          <c:showBubbleSize val="0"/>
        </c:dLbls>
        <c:axId val="1994744303"/>
        <c:axId val="1988261007"/>
      </c:scatterChart>
      <c:valAx>
        <c:axId val="1994744303"/>
        <c:scaling>
          <c:logBase val="10"/>
          <c:orientation val="minMax"/>
          <c:max val="1"/>
          <c:min val="1.000000000000001E-18"/>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b="1"/>
                  <a:t>Body weight in gC (on log10 axis)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88261007"/>
        <c:crosses val="autoZero"/>
        <c:crossBetween val="midCat"/>
        <c:majorUnit val="10"/>
      </c:valAx>
      <c:valAx>
        <c:axId val="1988261007"/>
        <c:scaling>
          <c:orientation val="minMax"/>
        </c:scaling>
        <c:delete val="1"/>
        <c:axPos val="l"/>
        <c:numFmt formatCode="General" sourceLinked="1"/>
        <c:majorTickMark val="none"/>
        <c:minorTickMark val="none"/>
        <c:tickLblPos val="nextTo"/>
        <c:crossAx val="19947443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none"/>
          </c:marker>
          <c:xVal>
            <c:numRef>
              <c:f>'9 fig. 1'!$G$3:$G$4</c:f>
              <c:numCache>
                <c:formatCode>0.00E+00</c:formatCode>
                <c:ptCount val="2"/>
                <c:pt idx="0">
                  <c:v>1.5999999999999998E-8</c:v>
                </c:pt>
                <c:pt idx="1">
                  <c:v>2.9999999999999999E-7</c:v>
                </c:pt>
              </c:numCache>
            </c:numRef>
          </c:xVal>
          <c:yVal>
            <c:numRef>
              <c:f>'9 fig. 1'!$H$3:$H$4</c:f>
              <c:numCache>
                <c:formatCode>General</c:formatCode>
                <c:ptCount val="2"/>
                <c:pt idx="0">
                  <c:v>7</c:v>
                </c:pt>
                <c:pt idx="1">
                  <c:v>7</c:v>
                </c:pt>
              </c:numCache>
            </c:numRef>
          </c:yVal>
          <c:smooth val="1"/>
          <c:extLst>
            <c:ext xmlns:c16="http://schemas.microsoft.com/office/drawing/2014/chart" uri="{C3380CC4-5D6E-409C-BE32-E72D297353CC}">
              <c16:uniqueId val="{00000000-E680-4E03-A22C-58C9ACA97186}"/>
            </c:ext>
          </c:extLst>
        </c:ser>
        <c:ser>
          <c:idx val="1"/>
          <c:order val="1"/>
          <c:spPr>
            <a:ln w="19050" cap="rnd">
              <a:solidFill>
                <a:schemeClr val="accent3"/>
              </a:solidFill>
              <a:round/>
            </a:ln>
            <a:effectLst/>
          </c:spPr>
          <c:marker>
            <c:symbol val="none"/>
          </c:marker>
          <c:xVal>
            <c:numRef>
              <c:f>'9 fig. 1'!$G$5:$G$6</c:f>
              <c:numCache>
                <c:formatCode>0.00E+00</c:formatCode>
                <c:ptCount val="2"/>
                <c:pt idx="0">
                  <c:v>1.9999999999999999E-7</c:v>
                </c:pt>
                <c:pt idx="1">
                  <c:v>1E-4</c:v>
                </c:pt>
              </c:numCache>
            </c:numRef>
          </c:xVal>
          <c:yVal>
            <c:numRef>
              <c:f>'9 fig. 1'!$H$5:$H$6</c:f>
              <c:numCache>
                <c:formatCode>General</c:formatCode>
                <c:ptCount val="2"/>
                <c:pt idx="0">
                  <c:v>6</c:v>
                </c:pt>
                <c:pt idx="1">
                  <c:v>6</c:v>
                </c:pt>
              </c:numCache>
            </c:numRef>
          </c:yVal>
          <c:smooth val="1"/>
          <c:extLst>
            <c:ext xmlns:c16="http://schemas.microsoft.com/office/drawing/2014/chart" uri="{C3380CC4-5D6E-409C-BE32-E72D297353CC}">
              <c16:uniqueId val="{00000001-E680-4E03-A22C-58C9ACA97186}"/>
            </c:ext>
          </c:extLst>
        </c:ser>
        <c:ser>
          <c:idx val="2"/>
          <c:order val="2"/>
          <c:spPr>
            <a:ln w="19050" cap="rnd">
              <a:solidFill>
                <a:schemeClr val="accent5"/>
              </a:solidFill>
              <a:round/>
            </a:ln>
            <a:effectLst/>
          </c:spPr>
          <c:marker>
            <c:symbol val="none"/>
          </c:marker>
          <c:xVal>
            <c:numRef>
              <c:f>'9 fig. 1'!$G$11:$G$12</c:f>
              <c:numCache>
                <c:formatCode>0.00E+00</c:formatCode>
                <c:ptCount val="2"/>
                <c:pt idx="0">
                  <c:v>2E-3</c:v>
                </c:pt>
                <c:pt idx="1">
                  <c:v>0.2</c:v>
                </c:pt>
              </c:numCache>
            </c:numRef>
          </c:xVal>
          <c:yVal>
            <c:numRef>
              <c:f>'9 fig. 1'!$H$11:$H$12</c:f>
              <c:numCache>
                <c:formatCode>General</c:formatCode>
                <c:ptCount val="2"/>
                <c:pt idx="0">
                  <c:v>6</c:v>
                </c:pt>
                <c:pt idx="1">
                  <c:v>6</c:v>
                </c:pt>
              </c:numCache>
            </c:numRef>
          </c:yVal>
          <c:smooth val="1"/>
          <c:extLst>
            <c:ext xmlns:c16="http://schemas.microsoft.com/office/drawing/2014/chart" uri="{C3380CC4-5D6E-409C-BE32-E72D297353CC}">
              <c16:uniqueId val="{00000002-E680-4E03-A22C-58C9ACA97186}"/>
            </c:ext>
          </c:extLst>
        </c:ser>
        <c:ser>
          <c:idx val="3"/>
          <c:order val="3"/>
          <c:spPr>
            <a:ln w="19050" cap="rnd">
              <a:solidFill>
                <a:schemeClr val="accent1">
                  <a:lumMod val="60000"/>
                </a:schemeClr>
              </a:solidFill>
              <a:round/>
            </a:ln>
            <a:effectLst/>
          </c:spPr>
          <c:marker>
            <c:symbol val="none"/>
          </c:marker>
          <c:xVal>
            <c:numRef>
              <c:f>'9 fig. 1'!$G$7:$G$8</c:f>
              <c:numCache>
                <c:formatCode>0.00E+00</c:formatCode>
                <c:ptCount val="2"/>
                <c:pt idx="0">
                  <c:v>1.4999999999999999E-5</c:v>
                </c:pt>
                <c:pt idx="1">
                  <c:v>2E-3</c:v>
                </c:pt>
              </c:numCache>
            </c:numRef>
          </c:xVal>
          <c:yVal>
            <c:numRef>
              <c:f>'9 fig. 1'!$H$7:$H$8</c:f>
              <c:numCache>
                <c:formatCode>General</c:formatCode>
                <c:ptCount val="2"/>
                <c:pt idx="0">
                  <c:v>4</c:v>
                </c:pt>
                <c:pt idx="1">
                  <c:v>4</c:v>
                </c:pt>
              </c:numCache>
            </c:numRef>
          </c:yVal>
          <c:smooth val="1"/>
          <c:extLst>
            <c:ext xmlns:c16="http://schemas.microsoft.com/office/drawing/2014/chart" uri="{C3380CC4-5D6E-409C-BE32-E72D297353CC}">
              <c16:uniqueId val="{00000003-E680-4E03-A22C-58C9ACA97186}"/>
            </c:ext>
          </c:extLst>
        </c:ser>
        <c:ser>
          <c:idx val="4"/>
          <c:order val="4"/>
          <c:spPr>
            <a:ln w="19050" cap="rnd">
              <a:solidFill>
                <a:schemeClr val="accent3">
                  <a:lumMod val="60000"/>
                </a:schemeClr>
              </a:solidFill>
              <a:round/>
            </a:ln>
            <a:effectLst/>
          </c:spPr>
          <c:marker>
            <c:symbol val="none"/>
          </c:marker>
          <c:xVal>
            <c:numRef>
              <c:f>'9 fig. 1'!$G$9:$G$10</c:f>
              <c:numCache>
                <c:formatCode>0.00E+00</c:formatCode>
                <c:ptCount val="2"/>
                <c:pt idx="0">
                  <c:v>6.3999999999999997E-5</c:v>
                </c:pt>
                <c:pt idx="1">
                  <c:v>3.0000000000000001E-3</c:v>
                </c:pt>
              </c:numCache>
            </c:numRef>
          </c:xVal>
          <c:yVal>
            <c:numRef>
              <c:f>'9 fig. 1'!$H$9:$H$10</c:f>
              <c:numCache>
                <c:formatCode>General</c:formatCode>
                <c:ptCount val="2"/>
                <c:pt idx="0">
                  <c:v>3</c:v>
                </c:pt>
                <c:pt idx="1">
                  <c:v>3</c:v>
                </c:pt>
              </c:numCache>
            </c:numRef>
          </c:yVal>
          <c:smooth val="1"/>
          <c:extLst>
            <c:ext xmlns:c16="http://schemas.microsoft.com/office/drawing/2014/chart" uri="{C3380CC4-5D6E-409C-BE32-E72D297353CC}">
              <c16:uniqueId val="{00000004-E680-4E03-A22C-58C9ACA97186}"/>
            </c:ext>
          </c:extLst>
        </c:ser>
        <c:ser>
          <c:idx val="5"/>
          <c:order val="5"/>
          <c:tx>
            <c:v>nano</c:v>
          </c:tx>
          <c:spPr>
            <a:ln w="19050" cap="rnd">
              <a:solidFill>
                <a:schemeClr val="accent5">
                  <a:lumMod val="60000"/>
                </a:schemeClr>
              </a:solidFill>
              <a:round/>
            </a:ln>
            <a:effectLst/>
          </c:spPr>
          <c:marker>
            <c:symbol val="none"/>
          </c:marker>
          <c:xVal>
            <c:numRef>
              <c:f>'9 fig. 1'!$G$31:$G$32</c:f>
              <c:numCache>
                <c:formatCode>0.00E+00</c:formatCode>
                <c:ptCount val="2"/>
                <c:pt idx="0">
                  <c:v>9.9999999999999995E-7</c:v>
                </c:pt>
                <c:pt idx="1">
                  <c:v>1.0000000000000001E-9</c:v>
                </c:pt>
              </c:numCache>
            </c:numRef>
          </c:xVal>
          <c:yVal>
            <c:numRef>
              <c:f>'9 fig. 1'!$H$31:$H$32</c:f>
              <c:numCache>
                <c:formatCode>General</c:formatCode>
                <c:ptCount val="2"/>
                <c:pt idx="0">
                  <c:v>1</c:v>
                </c:pt>
                <c:pt idx="1">
                  <c:v>1</c:v>
                </c:pt>
              </c:numCache>
            </c:numRef>
          </c:yVal>
          <c:smooth val="1"/>
          <c:extLst>
            <c:ext xmlns:c16="http://schemas.microsoft.com/office/drawing/2014/chart" uri="{C3380CC4-5D6E-409C-BE32-E72D297353CC}">
              <c16:uniqueId val="{00000005-E680-4E03-A22C-58C9ACA97186}"/>
            </c:ext>
          </c:extLst>
        </c:ser>
        <c:ser>
          <c:idx val="6"/>
          <c:order val="6"/>
          <c:tx>
            <c:v>micro+'9 fig. 1'!$F$33:$F$34</c:v>
          </c:tx>
          <c:spPr>
            <a:ln w="19050" cap="rnd">
              <a:solidFill>
                <a:schemeClr val="accent1">
                  <a:lumMod val="80000"/>
                  <a:lumOff val="20000"/>
                </a:schemeClr>
              </a:solidFill>
              <a:round/>
            </a:ln>
            <a:effectLst/>
          </c:spPr>
          <c:marker>
            <c:symbol val="none"/>
          </c:marker>
          <c:xVal>
            <c:numRef>
              <c:f>'9 fig. 1'!$G$29:$G$30</c:f>
              <c:numCache>
                <c:formatCode>0.00E+00</c:formatCode>
                <c:ptCount val="2"/>
                <c:pt idx="0">
                  <c:v>1E-3</c:v>
                </c:pt>
                <c:pt idx="1">
                  <c:v>9.9999999999999995E-7</c:v>
                </c:pt>
              </c:numCache>
            </c:numRef>
          </c:xVal>
          <c:yVal>
            <c:numRef>
              <c:f>'9 fig. 1'!$H$29:$H$30</c:f>
              <c:numCache>
                <c:formatCode>General</c:formatCode>
                <c:ptCount val="2"/>
                <c:pt idx="0">
                  <c:v>1</c:v>
                </c:pt>
                <c:pt idx="1">
                  <c:v>1</c:v>
                </c:pt>
              </c:numCache>
            </c:numRef>
          </c:yVal>
          <c:smooth val="1"/>
          <c:extLst>
            <c:ext xmlns:c16="http://schemas.microsoft.com/office/drawing/2014/chart" uri="{C3380CC4-5D6E-409C-BE32-E72D297353CC}">
              <c16:uniqueId val="{00000006-E680-4E03-A22C-58C9ACA97186}"/>
            </c:ext>
          </c:extLst>
        </c:ser>
        <c:ser>
          <c:idx val="7"/>
          <c:order val="7"/>
          <c:tx>
            <c:v>milli</c:v>
          </c:tx>
          <c:spPr>
            <a:ln w="19050" cap="rnd">
              <a:solidFill>
                <a:schemeClr val="accent3">
                  <a:lumMod val="80000"/>
                  <a:lumOff val="20000"/>
                </a:schemeClr>
              </a:solidFill>
              <a:round/>
            </a:ln>
            <a:effectLst/>
          </c:spPr>
          <c:marker>
            <c:symbol val="none"/>
          </c:marker>
          <c:xVal>
            <c:numRef>
              <c:f>'9 fig. 1'!$G$27:$G$28</c:f>
              <c:numCache>
                <c:formatCode>0.00E+00</c:formatCode>
                <c:ptCount val="2"/>
                <c:pt idx="0">
                  <c:v>0.01</c:v>
                </c:pt>
                <c:pt idx="1">
                  <c:v>1E-3</c:v>
                </c:pt>
              </c:numCache>
            </c:numRef>
          </c:xVal>
          <c:yVal>
            <c:numRef>
              <c:f>'9 fig. 1'!$H$27:$H$28</c:f>
              <c:numCache>
                <c:formatCode>General</c:formatCode>
                <c:ptCount val="2"/>
                <c:pt idx="0">
                  <c:v>1</c:v>
                </c:pt>
                <c:pt idx="1">
                  <c:v>1</c:v>
                </c:pt>
              </c:numCache>
            </c:numRef>
          </c:yVal>
          <c:smooth val="1"/>
          <c:extLst>
            <c:ext xmlns:c16="http://schemas.microsoft.com/office/drawing/2014/chart" uri="{C3380CC4-5D6E-409C-BE32-E72D297353CC}">
              <c16:uniqueId val="{00000007-E680-4E03-A22C-58C9ACA97186}"/>
            </c:ext>
          </c:extLst>
        </c:ser>
        <c:ser>
          <c:idx val="8"/>
          <c:order val="8"/>
          <c:tx>
            <c:v>centi</c:v>
          </c:tx>
          <c:spPr>
            <a:ln w="19050" cap="rnd">
              <a:solidFill>
                <a:schemeClr val="accent5">
                  <a:lumMod val="80000"/>
                  <a:lumOff val="20000"/>
                </a:schemeClr>
              </a:solidFill>
              <a:round/>
            </a:ln>
            <a:effectLst/>
          </c:spPr>
          <c:marker>
            <c:symbol val="none"/>
          </c:marker>
          <c:xVal>
            <c:numRef>
              <c:f>'9 fig. 1'!$G$25:$G$26</c:f>
              <c:numCache>
                <c:formatCode>0.00E+00</c:formatCode>
                <c:ptCount val="2"/>
                <c:pt idx="0">
                  <c:v>1</c:v>
                </c:pt>
                <c:pt idx="1">
                  <c:v>0.01</c:v>
                </c:pt>
              </c:numCache>
            </c:numRef>
          </c:xVal>
          <c:yVal>
            <c:numRef>
              <c:f>'9 fig. 1'!$H$25:$H$26</c:f>
              <c:numCache>
                <c:formatCode>General</c:formatCode>
                <c:ptCount val="2"/>
                <c:pt idx="0">
                  <c:v>1</c:v>
                </c:pt>
                <c:pt idx="1">
                  <c:v>1</c:v>
                </c:pt>
              </c:numCache>
            </c:numRef>
          </c:yVal>
          <c:smooth val="1"/>
          <c:extLst>
            <c:ext xmlns:c16="http://schemas.microsoft.com/office/drawing/2014/chart" uri="{C3380CC4-5D6E-409C-BE32-E72D297353CC}">
              <c16:uniqueId val="{00000008-E680-4E03-A22C-58C9ACA97186}"/>
            </c:ext>
          </c:extLst>
        </c:ser>
        <c:dLbls>
          <c:showLegendKey val="0"/>
          <c:showVal val="0"/>
          <c:showCatName val="0"/>
          <c:showSerName val="0"/>
          <c:showPercent val="0"/>
          <c:showBubbleSize val="0"/>
        </c:dLbls>
        <c:axId val="1994744303"/>
        <c:axId val="1988261007"/>
      </c:scatterChart>
      <c:valAx>
        <c:axId val="1994744303"/>
        <c:scaling>
          <c:logBase val="10"/>
          <c:orientation val="minMax"/>
          <c:max val="1"/>
          <c:min val="1.0000000000000005E-8"/>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b="1"/>
                  <a:t>Body length in m (on log10 axis)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88261007"/>
        <c:crosses val="autoZero"/>
        <c:crossBetween val="midCat"/>
        <c:majorUnit val="10"/>
      </c:valAx>
      <c:valAx>
        <c:axId val="1988261007"/>
        <c:scaling>
          <c:orientation val="minMax"/>
        </c:scaling>
        <c:delete val="1"/>
        <c:axPos val="l"/>
        <c:numFmt formatCode="General" sourceLinked="1"/>
        <c:majorTickMark val="none"/>
        <c:minorTickMark val="none"/>
        <c:tickLblPos val="nextTo"/>
        <c:crossAx val="19947443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63644355379947"/>
          <c:y val="6.2146892655367235E-2"/>
          <c:w val="0.82134434876312734"/>
          <c:h val="0.78980203745718225"/>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'10 fig. 2'!$F$2:$F$3</c:f>
              <c:numCache>
                <c:formatCode>0.00</c:formatCode>
                <c:ptCount val="2"/>
                <c:pt idx="0">
                  <c:v>-17</c:v>
                </c:pt>
                <c:pt idx="1">
                  <c:v>-12.230253532820546</c:v>
                </c:pt>
              </c:numCache>
            </c:numRef>
          </c:xVal>
          <c:yVal>
            <c:numRef>
              <c:f>'10 fig. 2'!$J$2:$J$3</c:f>
              <c:numCache>
                <c:formatCode>0.00</c:formatCode>
                <c:ptCount val="2"/>
                <c:pt idx="0">
                  <c:v>17</c:v>
                </c:pt>
                <c:pt idx="1">
                  <c:v>12.230253532820548</c:v>
                </c:pt>
              </c:numCache>
            </c:numRef>
          </c:yVal>
          <c:smooth val="0"/>
          <c:extLst>
            <c:ext xmlns:c16="http://schemas.microsoft.com/office/drawing/2014/chart" uri="{C3380CC4-5D6E-409C-BE32-E72D297353CC}">
              <c16:uniqueId val="{00000001-C2F9-4DB5-B6D0-7225910885CB}"/>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'10 fig. 2'!$F$4:$F$5</c:f>
              <c:numCache>
                <c:formatCode>0.00</c:formatCode>
                <c:ptCount val="2"/>
                <c:pt idx="0">
                  <c:v>-10.841668683859247</c:v>
                </c:pt>
                <c:pt idx="1">
                  <c:v>-5.5863961787559413</c:v>
                </c:pt>
              </c:numCache>
            </c:numRef>
          </c:xVal>
          <c:yVal>
            <c:numRef>
              <c:f>'10 fig. 2'!$J$4:$J$5</c:f>
              <c:numCache>
                <c:formatCode>0.00</c:formatCode>
                <c:ptCount val="2"/>
                <c:pt idx="0">
                  <c:v>8.6789471989795751E-16</c:v>
                </c:pt>
                <c:pt idx="1">
                  <c:v>1.0607602132086145E-15</c:v>
                </c:pt>
              </c:numCache>
            </c:numRef>
          </c:yVal>
          <c:smooth val="0"/>
          <c:extLst>
            <c:ext xmlns:c16="http://schemas.microsoft.com/office/drawing/2014/chart" uri="{C3380CC4-5D6E-409C-BE32-E72D297353CC}">
              <c16:uniqueId val="{00000003-C2F9-4DB5-B6D0-7225910885CB}"/>
            </c:ext>
          </c:extLst>
        </c:ser>
        <c:ser>
          <c:idx val="2"/>
          <c:order val="2"/>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'10 fig. 2'!$F$6:$F$7</c:f>
              <c:numCache>
                <c:formatCode>0.00</c:formatCode>
                <c:ptCount val="2"/>
                <c:pt idx="0">
                  <c:v>-9</c:v>
                </c:pt>
                <c:pt idx="1">
                  <c:v>-5</c:v>
                </c:pt>
              </c:numCache>
            </c:numRef>
          </c:xVal>
          <c:yVal>
            <c:numRef>
              <c:f>'10 fig. 2'!$J$6:$J$7</c:f>
              <c:numCache>
                <c:formatCode>0.00</c:formatCode>
                <c:ptCount val="2"/>
                <c:pt idx="0">
                  <c:v>-2.2499999999999996</c:v>
                </c:pt>
                <c:pt idx="1">
                  <c:v>-1.2499999999999993</c:v>
                </c:pt>
              </c:numCache>
            </c:numRef>
          </c:yVal>
          <c:smooth val="0"/>
          <c:extLst>
            <c:ext xmlns:c16="http://schemas.microsoft.com/office/drawing/2014/chart" uri="{C3380CC4-5D6E-409C-BE32-E72D297353CC}">
              <c16:uniqueId val="{00000005-C2F9-4DB5-B6D0-7225910885CB}"/>
            </c:ext>
          </c:extLst>
        </c:ser>
        <c:dLbls>
          <c:showLegendKey val="0"/>
          <c:showVal val="0"/>
          <c:showCatName val="0"/>
          <c:showSerName val="0"/>
          <c:showPercent val="0"/>
          <c:showBubbleSize val="0"/>
        </c:dLbls>
        <c:axId val="725247184"/>
        <c:axId val="725245264"/>
      </c:scatterChart>
      <c:valAx>
        <c:axId val="72524718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Body mass of size bins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5264"/>
        <c:crosses val="autoZero"/>
        <c:crossBetween val="midCat"/>
      </c:valAx>
      <c:valAx>
        <c:axId val="72524526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Biomass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7184"/>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'10 fig. 2'!$F$2:$F$3</c:f>
              <c:numCache>
                <c:formatCode>0.00</c:formatCode>
                <c:ptCount val="2"/>
                <c:pt idx="0">
                  <c:v>-17</c:v>
                </c:pt>
                <c:pt idx="1">
                  <c:v>-12.230253532820546</c:v>
                </c:pt>
              </c:numCache>
            </c:numRef>
          </c:xVal>
          <c:yVal>
            <c:numRef>
              <c:f>'10 fig. 2'!$G$2:$G$3</c:f>
              <c:numCache>
                <c:formatCode>0.00</c:formatCode>
                <c:ptCount val="2"/>
                <c:pt idx="0">
                  <c:v>-34</c:v>
                </c:pt>
                <c:pt idx="1">
                  <c:v>-24.460507065641092</c:v>
                </c:pt>
              </c:numCache>
            </c:numRef>
          </c:yVal>
          <c:smooth val="0"/>
          <c:extLst>
            <c:ext xmlns:c16="http://schemas.microsoft.com/office/drawing/2014/chart" uri="{C3380CC4-5D6E-409C-BE32-E72D297353CC}">
              <c16:uniqueId val="{00000000-B2AC-479C-A961-6FC8C8B47B3C}"/>
            </c:ext>
          </c:extLst>
        </c:ser>
        <c:ser>
          <c:idx val="1"/>
          <c:order val="1"/>
          <c:tx>
            <c:v>2</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'10 fig. 2'!$F$4:$F$5</c:f>
              <c:numCache>
                <c:formatCode>0.00</c:formatCode>
                <c:ptCount val="2"/>
                <c:pt idx="0">
                  <c:v>-10.841668683859247</c:v>
                </c:pt>
                <c:pt idx="1">
                  <c:v>-5.5863961787559413</c:v>
                </c:pt>
              </c:numCache>
            </c:numRef>
          </c:xVal>
          <c:yVal>
            <c:numRef>
              <c:f>'10 fig. 2'!$G$4:$G$5</c:f>
              <c:numCache>
                <c:formatCode>0.00</c:formatCode>
                <c:ptCount val="2"/>
                <c:pt idx="0">
                  <c:v>-10.841668683859247</c:v>
                </c:pt>
                <c:pt idx="1">
                  <c:v>-5.5863961787559413</c:v>
                </c:pt>
              </c:numCache>
            </c:numRef>
          </c:yVal>
          <c:smooth val="0"/>
          <c:extLst>
            <c:ext xmlns:c16="http://schemas.microsoft.com/office/drawing/2014/chart" uri="{C3380CC4-5D6E-409C-BE32-E72D297353CC}">
              <c16:uniqueId val="{00000003-B2AC-479C-A961-6FC8C8B47B3C}"/>
            </c:ext>
          </c:extLst>
        </c:ser>
        <c:ser>
          <c:idx val="2"/>
          <c:order val="2"/>
          <c:tx>
            <c:v>3</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'10 fig. 2'!$F$6:$F$7</c:f>
              <c:numCache>
                <c:formatCode>0.00</c:formatCode>
                <c:ptCount val="2"/>
                <c:pt idx="0">
                  <c:v>-9</c:v>
                </c:pt>
                <c:pt idx="1">
                  <c:v>-5</c:v>
                </c:pt>
              </c:numCache>
            </c:numRef>
          </c:xVal>
          <c:yVal>
            <c:numRef>
              <c:f>'10 fig. 2'!$G$6:$G$7</c:f>
              <c:numCache>
                <c:formatCode>0.00</c:formatCode>
                <c:ptCount val="2"/>
                <c:pt idx="0">
                  <c:v>-6.75</c:v>
                </c:pt>
                <c:pt idx="1">
                  <c:v>-3.75</c:v>
                </c:pt>
              </c:numCache>
            </c:numRef>
          </c:yVal>
          <c:smooth val="0"/>
          <c:extLst>
            <c:ext xmlns:c16="http://schemas.microsoft.com/office/drawing/2014/chart" uri="{C3380CC4-5D6E-409C-BE32-E72D297353CC}">
              <c16:uniqueId val="{00000005-B2AC-479C-A961-6FC8C8B47B3C}"/>
            </c:ext>
          </c:extLst>
        </c:ser>
        <c:dLbls>
          <c:showLegendKey val="0"/>
          <c:showVal val="0"/>
          <c:showCatName val="0"/>
          <c:showSerName val="0"/>
          <c:showPercent val="0"/>
          <c:showBubbleSize val="0"/>
        </c:dLbls>
        <c:axId val="725247184"/>
        <c:axId val="725245264"/>
      </c:scatterChart>
      <c:valAx>
        <c:axId val="72524718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Body mass of species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5264"/>
        <c:crosses val="autoZero"/>
        <c:crossBetween val="midCat"/>
      </c:valAx>
      <c:valAx>
        <c:axId val="72524526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Metabolic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7184"/>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'10 fig. 2'!$F$2:$F$3</c:f>
              <c:numCache>
                <c:formatCode>0.00</c:formatCode>
                <c:ptCount val="2"/>
                <c:pt idx="0">
                  <c:v>-17</c:v>
                </c:pt>
                <c:pt idx="1">
                  <c:v>-12.230253532820546</c:v>
                </c:pt>
              </c:numCache>
            </c:numRef>
          </c:xVal>
          <c:yVal>
            <c:numRef>
              <c:f>'10 fig. 2'!$H$2:$H$3</c:f>
              <c:numCache>
                <c:formatCode>0.00</c:formatCode>
                <c:ptCount val="2"/>
                <c:pt idx="0">
                  <c:v>-12.75</c:v>
                </c:pt>
                <c:pt idx="1">
                  <c:v>-9.1726901496154092</c:v>
                </c:pt>
              </c:numCache>
            </c:numRef>
          </c:yVal>
          <c:smooth val="0"/>
          <c:extLst>
            <c:ext xmlns:c16="http://schemas.microsoft.com/office/drawing/2014/chart" uri="{C3380CC4-5D6E-409C-BE32-E72D297353CC}">
              <c16:uniqueId val="{00000001-B0DC-4ED8-95CE-6FEAC5E6B013}"/>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'10 fig. 2'!$F$4:$F$5</c:f>
              <c:numCache>
                <c:formatCode>0.00</c:formatCode>
                <c:ptCount val="2"/>
                <c:pt idx="0">
                  <c:v>-10.841668683859247</c:v>
                </c:pt>
                <c:pt idx="1">
                  <c:v>-5.5863961787559413</c:v>
                </c:pt>
              </c:numCache>
            </c:numRef>
          </c:xVal>
          <c:yVal>
            <c:numRef>
              <c:f>'10 fig. 2'!$H$4:$H$5</c:f>
              <c:numCache>
                <c:formatCode>0.00</c:formatCode>
                <c:ptCount val="2"/>
                <c:pt idx="0">
                  <c:v>2.7104171709648117</c:v>
                </c:pt>
                <c:pt idx="1">
                  <c:v>1.3965990446889853</c:v>
                </c:pt>
              </c:numCache>
            </c:numRef>
          </c:yVal>
          <c:smooth val="0"/>
          <c:extLst>
            <c:ext xmlns:c16="http://schemas.microsoft.com/office/drawing/2014/chart" uri="{C3380CC4-5D6E-409C-BE32-E72D297353CC}">
              <c16:uniqueId val="{00000003-B0DC-4ED8-95CE-6FEAC5E6B013}"/>
            </c:ext>
          </c:extLst>
        </c:ser>
        <c:ser>
          <c:idx val="2"/>
          <c:order val="2"/>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'10 fig. 2'!$F$6:$F$7</c:f>
              <c:numCache>
                <c:formatCode>0.00</c:formatCode>
                <c:ptCount val="2"/>
                <c:pt idx="0">
                  <c:v>-9</c:v>
                </c:pt>
                <c:pt idx="1">
                  <c:v>-5</c:v>
                </c:pt>
              </c:numCache>
            </c:numRef>
          </c:xVal>
          <c:yVal>
            <c:numRef>
              <c:f>'10 fig. 2'!$H$6:$H$7</c:f>
              <c:numCache>
                <c:formatCode>0.00</c:formatCode>
                <c:ptCount val="2"/>
                <c:pt idx="0">
                  <c:v>2.25</c:v>
                </c:pt>
                <c:pt idx="1">
                  <c:v>1.25</c:v>
                </c:pt>
              </c:numCache>
            </c:numRef>
          </c:yVal>
          <c:smooth val="0"/>
          <c:extLst>
            <c:ext xmlns:c16="http://schemas.microsoft.com/office/drawing/2014/chart" uri="{C3380CC4-5D6E-409C-BE32-E72D297353CC}">
              <c16:uniqueId val="{00000005-B0DC-4ED8-95CE-6FEAC5E6B013}"/>
            </c:ext>
          </c:extLst>
        </c:ser>
        <c:dLbls>
          <c:showLegendKey val="0"/>
          <c:showVal val="0"/>
          <c:showCatName val="0"/>
          <c:showSerName val="0"/>
          <c:showPercent val="0"/>
          <c:showBubbleSize val="0"/>
        </c:dLbls>
        <c:axId val="725247184"/>
        <c:axId val="725245264"/>
      </c:scatterChart>
      <c:valAx>
        <c:axId val="72524718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Body mass of species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5264"/>
        <c:crosses val="autoZero"/>
        <c:crossBetween val="midCat"/>
      </c:valAx>
      <c:valAx>
        <c:axId val="72524526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Rmax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7184"/>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'10 fig. 2'!$F$2:$F$3</c:f>
              <c:numCache>
                <c:formatCode>0.00</c:formatCode>
                <c:ptCount val="2"/>
                <c:pt idx="0">
                  <c:v>-17</c:v>
                </c:pt>
                <c:pt idx="1">
                  <c:v>-12.230253532820546</c:v>
                </c:pt>
              </c:numCache>
            </c:numRef>
          </c:xVal>
          <c:yVal>
            <c:numRef>
              <c:f>'10 fig. 2'!$I$2:$I$3</c:f>
              <c:numCache>
                <c:formatCode>0.00</c:formatCode>
                <c:ptCount val="2"/>
                <c:pt idx="0">
                  <c:v>34</c:v>
                </c:pt>
                <c:pt idx="1">
                  <c:v>24.460507065641092</c:v>
                </c:pt>
              </c:numCache>
            </c:numRef>
          </c:yVal>
          <c:smooth val="0"/>
          <c:extLst>
            <c:ext xmlns:c16="http://schemas.microsoft.com/office/drawing/2014/chart" uri="{C3380CC4-5D6E-409C-BE32-E72D297353CC}">
              <c16:uniqueId val="{00000001-5D8D-449B-97F6-7FD594CA5933}"/>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'10 fig. 2'!$F$4:$F$5</c:f>
              <c:numCache>
                <c:formatCode>0.00</c:formatCode>
                <c:ptCount val="2"/>
                <c:pt idx="0">
                  <c:v>-10.841668683859247</c:v>
                </c:pt>
                <c:pt idx="1">
                  <c:v>-5.5863961787559413</c:v>
                </c:pt>
              </c:numCache>
            </c:numRef>
          </c:xVal>
          <c:yVal>
            <c:numRef>
              <c:f>'10 fig. 2'!$I$4:$I$5</c:f>
              <c:numCache>
                <c:formatCode>0.00</c:formatCode>
                <c:ptCount val="2"/>
                <c:pt idx="0">
                  <c:v>10.841668683859247</c:v>
                </c:pt>
                <c:pt idx="1">
                  <c:v>5.5863961787559413</c:v>
                </c:pt>
              </c:numCache>
            </c:numRef>
          </c:yVal>
          <c:smooth val="0"/>
          <c:extLst>
            <c:ext xmlns:c16="http://schemas.microsoft.com/office/drawing/2014/chart" uri="{C3380CC4-5D6E-409C-BE32-E72D297353CC}">
              <c16:uniqueId val="{00000003-5D8D-449B-97F6-7FD594CA5933}"/>
            </c:ext>
          </c:extLst>
        </c:ser>
        <c:ser>
          <c:idx val="2"/>
          <c:order val="2"/>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'10 fig. 2'!$F$6:$F$7</c:f>
              <c:numCache>
                <c:formatCode>0.00</c:formatCode>
                <c:ptCount val="2"/>
                <c:pt idx="0">
                  <c:v>-9</c:v>
                </c:pt>
                <c:pt idx="1">
                  <c:v>-5</c:v>
                </c:pt>
              </c:numCache>
            </c:numRef>
          </c:xVal>
          <c:yVal>
            <c:numRef>
              <c:f>'10 fig. 2'!$I$6:$I$7</c:f>
              <c:numCache>
                <c:formatCode>0.00</c:formatCode>
                <c:ptCount val="2"/>
                <c:pt idx="0">
                  <c:v>6.75</c:v>
                </c:pt>
                <c:pt idx="1">
                  <c:v>3.75</c:v>
                </c:pt>
              </c:numCache>
            </c:numRef>
          </c:yVal>
          <c:smooth val="0"/>
          <c:extLst>
            <c:ext xmlns:c16="http://schemas.microsoft.com/office/drawing/2014/chart" uri="{C3380CC4-5D6E-409C-BE32-E72D297353CC}">
              <c16:uniqueId val="{00000005-5D8D-449B-97F6-7FD594CA5933}"/>
            </c:ext>
          </c:extLst>
        </c:ser>
        <c:dLbls>
          <c:showLegendKey val="0"/>
          <c:showVal val="0"/>
          <c:showCatName val="0"/>
          <c:showSerName val="0"/>
          <c:showPercent val="0"/>
          <c:showBubbleSize val="0"/>
        </c:dLbls>
        <c:axId val="725247184"/>
        <c:axId val="725245264"/>
      </c:scatterChart>
      <c:valAx>
        <c:axId val="72524718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Body mass of size bins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5264"/>
        <c:crosses val="autoZero"/>
        <c:crossBetween val="midCat"/>
      </c:valAx>
      <c:valAx>
        <c:axId val="72524526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Abundance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7184"/>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63661417322834"/>
          <c:y val="8.9469472053698207E-2"/>
          <c:w val="0.82134434876312734"/>
          <c:h val="0.78980203745718225"/>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'10 fig. 2'!$F$2:$F$3</c:f>
              <c:numCache>
                <c:formatCode>0.00</c:formatCode>
                <c:ptCount val="2"/>
                <c:pt idx="0">
                  <c:v>-17</c:v>
                </c:pt>
                <c:pt idx="1">
                  <c:v>-12.230253532820546</c:v>
                </c:pt>
              </c:numCache>
            </c:numRef>
          </c:xVal>
          <c:yVal>
            <c:numRef>
              <c:f>'10 fig. 2'!$K$2:$K$3</c:f>
              <c:numCache>
                <c:formatCode>0.00</c:formatCode>
                <c:ptCount val="2"/>
                <c:pt idx="0">
                  <c:v>4.2499999999999991</c:v>
                </c:pt>
                <c:pt idx="1">
                  <c:v>3.0575633832051374</c:v>
                </c:pt>
              </c:numCache>
            </c:numRef>
          </c:yVal>
          <c:smooth val="0"/>
          <c:extLst>
            <c:ext xmlns:c16="http://schemas.microsoft.com/office/drawing/2014/chart" uri="{C3380CC4-5D6E-409C-BE32-E72D297353CC}">
              <c16:uniqueId val="{00000001-B469-4429-A9E3-C35E426E6541}"/>
            </c:ext>
          </c:extLst>
        </c:ser>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5.1111417322834647E-2"/>
                  <c:y val="-0.1093300632502904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'10 fig. 2'!$F$4:$F$5</c:f>
              <c:numCache>
                <c:formatCode>0.00</c:formatCode>
                <c:ptCount val="2"/>
                <c:pt idx="0">
                  <c:v>-10.841668683859247</c:v>
                </c:pt>
                <c:pt idx="1">
                  <c:v>-5.5863961787559413</c:v>
                </c:pt>
              </c:numCache>
            </c:numRef>
          </c:xVal>
          <c:yVal>
            <c:numRef>
              <c:f>'10 fig. 2'!$K$4:$K$5</c:f>
              <c:numCache>
                <c:formatCode>0.00</c:formatCode>
                <c:ptCount val="2"/>
                <c:pt idx="0">
                  <c:v>2.710417170964813</c:v>
                </c:pt>
                <c:pt idx="1">
                  <c:v>1.3965990446889867</c:v>
                </c:pt>
              </c:numCache>
            </c:numRef>
          </c:yVal>
          <c:smooth val="0"/>
          <c:extLst>
            <c:ext xmlns:c16="http://schemas.microsoft.com/office/drawing/2014/chart" uri="{C3380CC4-5D6E-409C-BE32-E72D297353CC}">
              <c16:uniqueId val="{00000003-B469-4429-A9E3-C35E426E6541}"/>
            </c:ext>
          </c:extLst>
        </c:ser>
        <c:ser>
          <c:idx val="2"/>
          <c:order val="2"/>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0927007874015748"/>
                  <c:y val="4.24366421410438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'10 fig. 2'!$F$6:$F$7</c:f>
              <c:numCache>
                <c:formatCode>0.00</c:formatCode>
                <c:ptCount val="2"/>
                <c:pt idx="0">
                  <c:v>-9</c:v>
                </c:pt>
                <c:pt idx="1">
                  <c:v>-5</c:v>
                </c:pt>
              </c:numCache>
            </c:numRef>
          </c:xVal>
          <c:yVal>
            <c:numRef>
              <c:f>'10 fig. 2'!$K$6:$K$7</c:f>
              <c:numCache>
                <c:formatCode>0.00</c:formatCode>
                <c:ptCount val="2"/>
                <c:pt idx="0">
                  <c:v>8.6789471989795751E-16</c:v>
                </c:pt>
                <c:pt idx="1">
                  <c:v>8.6789471989795751E-16</c:v>
                </c:pt>
              </c:numCache>
            </c:numRef>
          </c:yVal>
          <c:smooth val="0"/>
          <c:extLst>
            <c:ext xmlns:c16="http://schemas.microsoft.com/office/drawing/2014/chart" uri="{C3380CC4-5D6E-409C-BE32-E72D297353CC}">
              <c16:uniqueId val="{00000005-B469-4429-A9E3-C35E426E6541}"/>
            </c:ext>
          </c:extLst>
        </c:ser>
        <c:dLbls>
          <c:showLegendKey val="0"/>
          <c:showVal val="0"/>
          <c:showCatName val="0"/>
          <c:showSerName val="0"/>
          <c:showPercent val="0"/>
          <c:showBubbleSize val="0"/>
        </c:dLbls>
        <c:axId val="725247184"/>
        <c:axId val="725245264"/>
      </c:scatterChart>
      <c:valAx>
        <c:axId val="72524718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Body mass of size bins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5264"/>
        <c:crosses val="autoZero"/>
        <c:crossBetween val="midCat"/>
      </c:valAx>
      <c:valAx>
        <c:axId val="72524526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Production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25247184"/>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25</xdr:col>
      <xdr:colOff>0</xdr:colOff>
      <xdr:row>12</xdr:row>
      <xdr:rowOff>0</xdr:rowOff>
    </xdr:from>
    <xdr:to>
      <xdr:col>26</xdr:col>
      <xdr:colOff>53804</xdr:colOff>
      <xdr:row>12</xdr:row>
      <xdr:rowOff>171450</xdr:rowOff>
    </xdr:to>
    <xdr:pic>
      <xdr:nvPicPr>
        <xdr:cNvPr id="2" name="Picture 2">
          <a:extLst>
            <a:ext uri="{FF2B5EF4-FFF2-40B4-BE49-F238E27FC236}">
              <a16:creationId xmlns:a16="http://schemas.microsoft.com/office/drawing/2014/main" id="{1E50E1A7-736C-C2B3-2371-DC0B238CCF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564350" y="5403850"/>
          <a:ext cx="634829" cy="171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1</xdr:col>
      <xdr:colOff>12700</xdr:colOff>
      <xdr:row>9</xdr:row>
      <xdr:rowOff>12700</xdr:rowOff>
    </xdr:to>
    <xdr:pic>
      <xdr:nvPicPr>
        <xdr:cNvPr id="18" name="Picture 17">
          <a:extLst>
            <a:ext uri="{FF2B5EF4-FFF2-40B4-BE49-F238E27FC236}">
              <a16:creationId xmlns:a16="http://schemas.microsoft.com/office/drawing/2014/main" id="{24284390-C717-0477-EFFF-A07159883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2890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352424</xdr:colOff>
      <xdr:row>45</xdr:row>
      <xdr:rowOff>63500</xdr:rowOff>
    </xdr:from>
    <xdr:to>
      <xdr:col>9</xdr:col>
      <xdr:colOff>355599</xdr:colOff>
      <xdr:row>65</xdr:row>
      <xdr:rowOff>12700</xdr:rowOff>
    </xdr:to>
    <xdr:graphicFrame macro="">
      <xdr:nvGraphicFramePr>
        <xdr:cNvPr id="2" name="Chart 1">
          <a:extLst>
            <a:ext uri="{FF2B5EF4-FFF2-40B4-BE49-F238E27FC236}">
              <a16:creationId xmlns:a16="http://schemas.microsoft.com/office/drawing/2014/main" id="{8C69B6F2-423F-4658-A6F1-01FB4F8A0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349249</xdr:colOff>
      <xdr:row>32</xdr:row>
      <xdr:rowOff>120649</xdr:rowOff>
    </xdr:from>
    <xdr:to>
      <xdr:col>9</xdr:col>
      <xdr:colOff>352424</xdr:colOff>
      <xdr:row>45</xdr:row>
      <xdr:rowOff>13640</xdr:rowOff>
    </xdr:to>
    <xdr:graphicFrame macro="">
      <xdr:nvGraphicFramePr>
        <xdr:cNvPr id="3" name="Chart 2">
          <a:extLst>
            <a:ext uri="{FF2B5EF4-FFF2-40B4-BE49-F238E27FC236}">
              <a16:creationId xmlns:a16="http://schemas.microsoft.com/office/drawing/2014/main" id="{ACF8BE55-0DCD-4CDD-A9FB-BAF98F26D701}"/>
            </a:ext>
            <a:ext uri="{147F2762-F138-4A5C-976F-8EAC2B608ADB}">
              <a16:predDERef xmlns:a16="http://schemas.microsoft.com/office/drawing/2014/main" pred="{8C69B6F2-423F-4658-A6F1-01FB4F8A0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209551</xdr:colOff>
      <xdr:row>38</xdr:row>
      <xdr:rowOff>133350</xdr:rowOff>
    </xdr:from>
    <xdr:to>
      <xdr:col>9</xdr:col>
      <xdr:colOff>209551</xdr:colOff>
      <xdr:row>50</xdr:row>
      <xdr:rowOff>171450</xdr:rowOff>
    </xdr:to>
    <xdr:graphicFrame macro="">
      <xdr:nvGraphicFramePr>
        <xdr:cNvPr id="2" name="Chart 1">
          <a:extLst>
            <a:ext uri="{FF2B5EF4-FFF2-40B4-BE49-F238E27FC236}">
              <a16:creationId xmlns:a16="http://schemas.microsoft.com/office/drawing/2014/main" id="{1B6384F8-0DA8-40F3-86CF-8994B50CF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530225</xdr:colOff>
      <xdr:row>26</xdr:row>
      <xdr:rowOff>12700</xdr:rowOff>
    </xdr:from>
    <xdr:to>
      <xdr:col>5</xdr:col>
      <xdr:colOff>88900</xdr:colOff>
      <xdr:row>38</xdr:row>
      <xdr:rowOff>50800</xdr:rowOff>
    </xdr:to>
    <xdr:graphicFrame macro="">
      <xdr:nvGraphicFramePr>
        <xdr:cNvPr id="4" name="Chart 3">
          <a:extLst>
            <a:ext uri="{FF2B5EF4-FFF2-40B4-BE49-F238E27FC236}">
              <a16:creationId xmlns:a16="http://schemas.microsoft.com/office/drawing/2014/main" id="{6FB9F726-807D-5F90-11B2-787C9691EE86}"/>
            </a:ext>
            <a:ext uri="{147F2762-F138-4A5C-976F-8EAC2B608ADB}">
              <a16:predDERef xmlns:a16="http://schemas.microsoft.com/office/drawing/2014/main" pred="{1B6384F8-0DA8-40F3-86CF-8994B50CF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209550</xdr:colOff>
      <xdr:row>26</xdr:row>
      <xdr:rowOff>12700</xdr:rowOff>
    </xdr:from>
    <xdr:to>
      <xdr:col>9</xdr:col>
      <xdr:colOff>209549</xdr:colOff>
      <xdr:row>38</xdr:row>
      <xdr:rowOff>50800</xdr:rowOff>
    </xdr:to>
    <xdr:graphicFrame macro="">
      <xdr:nvGraphicFramePr>
        <xdr:cNvPr id="5" name="Chart 4">
          <a:extLst>
            <a:ext uri="{FF2B5EF4-FFF2-40B4-BE49-F238E27FC236}">
              <a16:creationId xmlns:a16="http://schemas.microsoft.com/office/drawing/2014/main" id="{94AF44C6-EF70-1056-BA1E-0EA793DA8D4B}"/>
            </a:ext>
            <a:ext uri="{147F2762-F138-4A5C-976F-8EAC2B608ADB}">
              <a16:predDERef xmlns:a16="http://schemas.microsoft.com/office/drawing/2014/main" pred="{6FB9F726-807D-5F90-11B2-787C9691E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539750</xdr:colOff>
      <xdr:row>38</xdr:row>
      <xdr:rowOff>127000</xdr:rowOff>
    </xdr:from>
    <xdr:to>
      <xdr:col>5</xdr:col>
      <xdr:colOff>98425</xdr:colOff>
      <xdr:row>50</xdr:row>
      <xdr:rowOff>165100</xdr:rowOff>
    </xdr:to>
    <xdr:graphicFrame macro="">
      <xdr:nvGraphicFramePr>
        <xdr:cNvPr id="6" name="Chart 5">
          <a:extLst>
            <a:ext uri="{FF2B5EF4-FFF2-40B4-BE49-F238E27FC236}">
              <a16:creationId xmlns:a16="http://schemas.microsoft.com/office/drawing/2014/main" id="{57FEA546-A928-5053-1598-AFC3F8AC0E4F}"/>
            </a:ext>
            <a:ext uri="{147F2762-F138-4A5C-976F-8EAC2B608ADB}">
              <a16:predDERef xmlns:a16="http://schemas.microsoft.com/office/drawing/2014/main" pred="{94AF44C6-EF70-1056-BA1E-0EA793DA8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342900</xdr:colOff>
      <xdr:row>38</xdr:row>
      <xdr:rowOff>165100</xdr:rowOff>
    </xdr:from>
    <xdr:to>
      <xdr:col>13</xdr:col>
      <xdr:colOff>622300</xdr:colOff>
      <xdr:row>51</xdr:row>
      <xdr:rowOff>12700</xdr:rowOff>
    </xdr:to>
    <xdr:graphicFrame macro="">
      <xdr:nvGraphicFramePr>
        <xdr:cNvPr id="16" name="Chart 15">
          <a:extLst>
            <a:ext uri="{FF2B5EF4-FFF2-40B4-BE49-F238E27FC236}">
              <a16:creationId xmlns:a16="http://schemas.microsoft.com/office/drawing/2014/main" id="{E59813D4-5CC3-4785-82D4-D2D2DE490058}"/>
            </a:ext>
            <a:ext uri="{147F2762-F138-4A5C-976F-8EAC2B608ADB}">
              <a16:predDERef xmlns:a16="http://schemas.microsoft.com/office/drawing/2014/main" pred="{57FEA546-A928-5053-1598-AFC3F8AC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 Perkins (Staff)" refreshedDate="45838.518004513891" createdVersion="8" refreshedVersion="8" minRefreshableVersion="3" recordCount="83" xr:uid="{0939CD4E-9704-444C-8326-9516024F5A57}">
  <cacheSource type="worksheet">
    <worksheetSource ref="C1:Y1048576" sheet="1a"/>
  </cacheSource>
  <cacheFields count="23">
    <cacheField name="Size group" numFmtId="0">
      <sharedItems containsString="0" containsBlank="1" containsNumber="1" containsInteger="1" minValue="1" maxValue="5" count="6">
        <n v="5"/>
        <n v="4"/>
        <n v="3"/>
        <n v="2"/>
        <n v="1"/>
        <m/>
      </sharedItems>
    </cacheField>
    <cacheField name="Size group name" numFmtId="0">
      <sharedItems containsBlank="1" count="6">
        <s v="Viruses"/>
        <s v="Bacteria"/>
        <s v="Protists"/>
        <s v="Micro-metazoan"/>
        <s v="Macrofauna"/>
        <m/>
      </sharedItems>
    </cacheField>
    <cacheField name="Group" numFmtId="0">
      <sharedItems containsBlank="1"/>
    </cacheField>
    <cacheField name="Example" numFmtId="0">
      <sharedItems containsBlank="1"/>
    </cacheField>
    <cacheField name="L (µm)" numFmtId="0">
      <sharedItems containsString="0" containsBlank="1" containsNumber="1" minValue="1.6E-2" maxValue="19000"/>
    </cacheField>
    <cacheField name="V (µm3), i.e. V (fL)" numFmtId="0">
      <sharedItems containsBlank="1" containsMixedTypes="1" containsNumber="1" minValue="7.1999999999999995E-2" maxValue="13429490.471009493"/>
    </cacheField>
    <cacheField name="V (nl)" numFmtId="0">
      <sharedItems containsBlank="1" containsMixedTypes="1" containsNumber="1" minValue="7.1999999999999996E-8" maxValue="13.429490471009492"/>
    </cacheField>
    <cacheField name="FW (µg)" numFmtId="0">
      <sharedItems containsBlank="1" containsMixedTypes="1" containsNumber="1" minValue="1.0000000000000001E-9" maxValue="1"/>
    </cacheField>
    <cacheField name="DW (µg)" numFmtId="0">
      <sharedItems containsNonDate="0" containsString="0" containsBlank="1"/>
    </cacheField>
    <cacheField name="µgC/ind." numFmtId="0">
      <sharedItems containsString="0" containsBlank="1" containsNumber="1" minValue="2.0000000000000002E-11" maxValue="100"/>
    </cacheField>
    <cacheField name="L (mm)" numFmtId="0">
      <sharedItems containsString="0" containsBlank="1" containsNumber="1" minValue="5.0000000000000002E-5" maxValue="1.0088110000000001"/>
    </cacheField>
    <cacheField name="V (ml)" numFmtId="0">
      <sharedItems containsString="0" containsBlank="1" containsNumber="1" minValue="7.1999999999999997E-11" maxValue="8.0000000000000007E-5"/>
    </cacheField>
    <cacheField name="FW (mg) " numFmtId="0">
      <sharedItems containsString="0" containsBlank="1" containsNumber="1" minValue="1E-14" maxValue="9.9999999999999994E-12"/>
    </cacheField>
    <cacheField name="DW (mg) min" numFmtId="0">
      <sharedItems containsString="0" containsBlank="1" containsNumber="1" minValue="4.0000000000000003E-15" maxValue="1.9E-12"/>
    </cacheField>
    <cacheField name="FW(g)" numFmtId="11">
      <sharedItems containsString="0" containsBlank="1" containsNumber="1" minValue="1.0000000000000001E-15" maxValue="1000"/>
    </cacheField>
    <cacheField name="DW (g)" numFmtId="0">
      <sharedItems containsString="0" containsBlank="1" containsNumber="1" minValue="5.9620596205962061E-17" maxValue="1.1720000000000001E-12"/>
    </cacheField>
    <cacheField name="L (m)" numFmtId="11">
      <sharedItems containsString="0" containsBlank="1" containsNumber="1" minValue="1.6000000000000001E-8" maxValue="0.2"/>
    </cacheField>
    <cacheField name="gC/ind." numFmtId="0">
      <sharedItems containsString="0" containsBlank="1" containsNumber="1" minValue="2.0000000000000001E-17" maxValue="1E-4"/>
    </cacheField>
    <cacheField name="Reference" numFmtId="0">
      <sharedItems containsBlank="1"/>
    </cacheField>
    <cacheField name="raw data as given by authors for length" numFmtId="0">
      <sharedItems containsBlank="1"/>
    </cacheField>
    <cacheField name="raw data as given by authors" numFmtId="0">
      <sharedItems containsBlank="1" containsMixedTypes="1" containsNumber="1" minValue="0.02" maxValue="5750"/>
    </cacheField>
    <cacheField name="comment 1" numFmtId="0">
      <sharedItems containsBlank="1"/>
    </cacheField>
    <cacheField name="comment 2" numFmtId="0">
      <sharedItems containsString="0" containsBlank="1" containsNumber="1" minValue="2.1" maxValue="6.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x v="0"/>
    <x v="0"/>
    <s v="Viruses"/>
    <s v="virus small"/>
    <n v="1.6E-2"/>
    <m/>
    <m/>
    <m/>
    <m/>
    <m/>
    <m/>
    <m/>
    <m/>
    <m/>
    <m/>
    <m/>
    <n v="1.6000000000000001E-8"/>
    <m/>
    <s v="Modrow et al. 2013"/>
    <s v="16 nm"/>
    <m/>
    <m/>
    <m/>
  </r>
  <r>
    <x v="0"/>
    <x v="0"/>
    <s v="Viruses"/>
    <s v="virus small"/>
    <n v="1.7000000000000001E-2"/>
    <m/>
    <m/>
    <m/>
    <m/>
    <m/>
    <m/>
    <m/>
    <m/>
    <m/>
    <m/>
    <m/>
    <n v="1.7E-8"/>
    <m/>
    <s v="Sevvana et al. 2021"/>
    <m/>
    <s v="Angstrom"/>
    <m/>
    <m/>
  </r>
  <r>
    <x v="0"/>
    <x v="0"/>
    <s v="Viruses"/>
    <s v="Bacteriophage typical"/>
    <n v="0.05"/>
    <m/>
    <m/>
    <m/>
    <m/>
    <n v="2.0000000000000002E-11"/>
    <n v="5.0000000000000002E-5"/>
    <m/>
    <m/>
    <m/>
    <m/>
    <m/>
    <n v="4.9999999999999998E-8"/>
    <n v="2.0000000000000001E-17"/>
    <s v="Bar-On et al. 2018 "/>
    <m/>
    <s v="≈0.02 fg C, 50nm length"/>
    <m/>
    <m/>
  </r>
  <r>
    <x v="0"/>
    <x v="0"/>
    <s v="Viruses"/>
    <s v="SARS-CoV-2 virus"/>
    <n v="0.1"/>
    <m/>
    <m/>
    <m/>
    <m/>
    <n v="1.0000000000000001E-9"/>
    <n v="1E-4"/>
    <m/>
    <m/>
    <m/>
    <m/>
    <m/>
    <n v="9.9999999999999995E-8"/>
    <n v="1.0000000000000001E-15"/>
    <s v="Bar-On et al. 2020"/>
    <m/>
    <s v="1fg, 100nm in diamtre"/>
    <m/>
    <m/>
  </r>
  <r>
    <x v="0"/>
    <x v="0"/>
    <s v="Viruses"/>
    <s v="Bacteriophage Lambda"/>
    <n v="0.18"/>
    <m/>
    <m/>
    <m/>
    <m/>
    <m/>
    <m/>
    <m/>
    <m/>
    <m/>
    <m/>
    <m/>
    <n v="1.8E-7"/>
    <n v="9.6311320000000015E-17"/>
    <s v="Hohn &amp; Katsura 1977"/>
    <m/>
    <s v="58 x 106 daltons"/>
    <s v="head with a radius of 30 nm and a flexible tail 150 nm long"/>
    <m/>
  </r>
  <r>
    <x v="0"/>
    <x v="0"/>
    <s v="Viruses"/>
    <s v="Bacteriophage T2"/>
    <n v="0.19500000000000001"/>
    <m/>
    <m/>
    <m/>
    <m/>
    <m/>
    <m/>
    <m/>
    <m/>
    <m/>
    <m/>
    <m/>
    <n v="1.9499999999999999E-7"/>
    <n v="5.3967550000000005E-16"/>
    <s v="Matthews 1975"/>
    <m/>
    <s v="325 x 106 dalton; 34.6 × 104nm3"/>
    <s v="1 dalton = 1.66054E-24g"/>
    <m/>
  </r>
  <r>
    <x v="0"/>
    <x v="0"/>
    <s v="Viruses"/>
    <s v="virus large"/>
    <n v="0.3"/>
    <m/>
    <m/>
    <m/>
    <m/>
    <m/>
    <m/>
    <m/>
    <m/>
    <m/>
    <m/>
    <m/>
    <n v="2.9999999999999999E-7"/>
    <m/>
    <s v="Modrow et al. 2013"/>
    <s v="300 nm"/>
    <m/>
    <m/>
    <m/>
  </r>
  <r>
    <x v="0"/>
    <x v="0"/>
    <s v="Viruses"/>
    <s v="Mimivirus that infects protozoa"/>
    <n v="0.4"/>
    <m/>
    <m/>
    <m/>
    <m/>
    <m/>
    <m/>
    <m/>
    <m/>
    <m/>
    <m/>
    <m/>
    <n v="3.9999999999999998E-7"/>
    <m/>
    <s v="Dimmock et al. 2015"/>
    <m/>
    <m/>
    <m/>
    <m/>
  </r>
  <r>
    <x v="0"/>
    <x v="0"/>
    <s v="Viruses"/>
    <s v="phage of Autographa californica "/>
    <m/>
    <m/>
    <m/>
    <n v="1.0000000000000001E-9"/>
    <m/>
    <m/>
    <m/>
    <m/>
    <m/>
    <m/>
    <n v="1.0000000000000001E-15"/>
    <m/>
    <m/>
    <m/>
    <s v="Ilic et al. 2004"/>
    <m/>
    <s v="1 fg"/>
    <m/>
    <m/>
  </r>
  <r>
    <x v="0"/>
    <x v="0"/>
    <s v="Viruses"/>
    <s v="Bacteriophage"/>
    <n v="8.2000000000000003E-2"/>
    <m/>
    <m/>
    <m/>
    <m/>
    <m/>
    <m/>
    <m/>
    <m/>
    <m/>
    <m/>
    <n v="5.9620596205962061E-17"/>
    <n v="8.1999999999999993E-8"/>
    <m/>
    <s v="Day and Mindich 1980"/>
    <s v="82 nm"/>
    <s v="molecular weight of 99 × 106"/>
    <m/>
    <m/>
  </r>
  <r>
    <x v="1"/>
    <x v="1"/>
    <s v="Bacteria - heterotroph"/>
    <s v="SAR11 marine clade"/>
    <n v="0.12000000000000001"/>
    <m/>
    <m/>
    <m/>
    <m/>
    <m/>
    <n v="1.2E-4"/>
    <m/>
    <m/>
    <m/>
    <m/>
    <m/>
    <n v="1.2000000000000002E-7"/>
    <m/>
    <s v="Andersen et al. 2015"/>
    <m/>
    <s v="cm"/>
    <m/>
    <m/>
  </r>
  <r>
    <x v="1"/>
    <x v="1"/>
    <s v="Bacteria"/>
    <m/>
    <m/>
    <m/>
    <m/>
    <m/>
    <m/>
    <m/>
    <m/>
    <m/>
    <m/>
    <m/>
    <m/>
    <m/>
    <n v="1.4999999999999999E-7"/>
    <m/>
    <s v="Hatton et al. 2021"/>
    <s v="smallest cell 0.15 μm "/>
    <m/>
    <m/>
    <m/>
  </r>
  <r>
    <x v="1"/>
    <x v="1"/>
    <s v="Bacteria - general"/>
    <s v="Aquatic bacterium"/>
    <n v="0.2"/>
    <m/>
    <m/>
    <m/>
    <m/>
    <n v="2.0000000000000004E-8"/>
    <n v="2.0000000000000001E-4"/>
    <m/>
    <m/>
    <m/>
    <m/>
    <m/>
    <n v="1.9999999999999999E-7"/>
    <n v="2.0000000000000003E-14"/>
    <s v="Findlay et al. 2002"/>
    <m/>
    <m/>
    <m/>
    <m/>
  </r>
  <r>
    <x v="1"/>
    <x v="1"/>
    <s v="Bacteria"/>
    <s v="small"/>
    <m/>
    <m/>
    <m/>
    <m/>
    <m/>
    <m/>
    <m/>
    <m/>
    <m/>
    <m/>
    <m/>
    <m/>
    <n v="1.9999999999999999E-7"/>
    <m/>
    <s v="Schulz &amp; Jørgensen 2001"/>
    <s v="0.2 microm"/>
    <m/>
    <m/>
    <m/>
  </r>
  <r>
    <x v="1"/>
    <x v="1"/>
    <s v="Bacteria - autotroph"/>
    <s v="Prochlorococcus sp. "/>
    <n v="0.5"/>
    <m/>
    <m/>
    <m/>
    <m/>
    <m/>
    <n v="5.0000000000000001E-4"/>
    <m/>
    <m/>
    <m/>
    <m/>
    <m/>
    <n v="4.9999999999999998E-7"/>
    <m/>
    <s v="Bar-On et al. 2018 "/>
    <m/>
    <s v="cm"/>
    <m/>
    <m/>
  </r>
  <r>
    <x v="1"/>
    <x v="1"/>
    <s v="Bacteria - autotroph"/>
    <s v="Chroococcus sp. "/>
    <n v="25"/>
    <m/>
    <m/>
    <m/>
    <m/>
    <m/>
    <n v="2.5000000000000001E-2"/>
    <m/>
    <m/>
    <m/>
    <m/>
    <m/>
    <n v="2.4999999999999998E-5"/>
    <m/>
    <s v="Bar-On et al. 2018 "/>
    <m/>
    <s v="cm"/>
    <m/>
    <m/>
  </r>
  <r>
    <x v="1"/>
    <x v="1"/>
    <s v="Bacteria"/>
    <s v="Achromatium oxaliferum, the largest free living single-celled prokaryotes"/>
    <n v="95"/>
    <n v="80000"/>
    <n v="0.08"/>
    <m/>
    <m/>
    <m/>
    <m/>
    <n v="8.0000000000000007E-5"/>
    <m/>
    <m/>
    <m/>
    <m/>
    <n v="9.4999999999999992E-5"/>
    <m/>
    <s v="Schulz &amp; Jørgensen 2001"/>
    <s v="95 microm"/>
    <s v="biovolume in microm3"/>
    <m/>
    <m/>
  </r>
  <r>
    <x v="1"/>
    <x v="1"/>
    <s v="Bacteria - heterotroph"/>
    <s v="E. coli"/>
    <m/>
    <m/>
    <m/>
    <m/>
    <m/>
    <n v="1.5000000000000002E-7"/>
    <m/>
    <m/>
    <m/>
    <m/>
    <m/>
    <m/>
    <m/>
    <n v="1.5000000000000002E-13"/>
    <s v="Bar-On et al. 2018 "/>
    <m/>
    <s v="≈150 fg C"/>
    <m/>
    <m/>
  </r>
  <r>
    <x v="1"/>
    <x v="1"/>
    <s v="Bacteria - heterotroph"/>
    <s v="marine, brakish and freshwater bacteria"/>
    <m/>
    <n v="6"/>
    <n v="6.0000000000000002E-6"/>
    <m/>
    <m/>
    <m/>
    <m/>
    <n v="6E-9"/>
    <m/>
    <n v="4.0000000000000003E-15"/>
    <m/>
    <m/>
    <m/>
    <n v="7.0000000000000001E-15"/>
    <s v="Fagerbakke, Heldal and Norland 1996 "/>
    <m/>
    <s v="0026 to 15.8 microm3, 4 fg to 1.9 pg. "/>
    <m/>
    <m/>
  </r>
  <r>
    <x v="1"/>
    <x v="1"/>
    <s v="Bacteria - heterotroph"/>
    <s v="marine, brakish and freshwater bacteria"/>
    <m/>
    <n v="15.8"/>
    <n v="1.5800000000000001E-5"/>
    <m/>
    <m/>
    <m/>
    <m/>
    <n v="1.5800000000000003E-8"/>
    <m/>
    <n v="1.9E-12"/>
    <m/>
    <m/>
    <m/>
    <n v="5.3000000000000006E-13"/>
    <s v="Fagerbakke, Heldal and Norland 1996 "/>
    <m/>
    <s v="0026 to 15.8 microm3, 4 fg to 1.9 pg. "/>
    <m/>
    <m/>
  </r>
  <r>
    <x v="1"/>
    <x v="1"/>
    <s v="Bacteria - heterotroph"/>
    <s v="E. coli"/>
    <m/>
    <m/>
    <m/>
    <n v="6.65E-9"/>
    <m/>
    <m/>
    <m/>
    <m/>
    <m/>
    <m/>
    <n v="6.6500000000000004E-15"/>
    <m/>
    <m/>
    <m/>
    <s v="Ilic et al. 2001"/>
    <m/>
    <m/>
    <m/>
    <m/>
  </r>
  <r>
    <x v="1"/>
    <x v="1"/>
    <s v="Bacteria - heterotroph"/>
    <s v="E.coli from 2 lakes - small"/>
    <m/>
    <m/>
    <m/>
    <m/>
    <m/>
    <n v="4.1500000000000001E-8"/>
    <m/>
    <m/>
    <m/>
    <m/>
    <m/>
    <n v="8.3E-14"/>
    <m/>
    <n v="4.15E-14"/>
    <s v="Loferer-Krossbacher et al. 1998"/>
    <m/>
    <s v="DW of E. coli cells ranged from 83 to 1,172 fg; carbon is 50% of DW"/>
    <m/>
    <m/>
  </r>
  <r>
    <x v="1"/>
    <x v="1"/>
    <s v="Bacteria - heterotroph"/>
    <s v="E.coli from 2 lakes - large"/>
    <m/>
    <m/>
    <m/>
    <m/>
    <m/>
    <n v="5.8599999999999998E-7"/>
    <m/>
    <m/>
    <m/>
    <m/>
    <m/>
    <n v="1.1720000000000001E-12"/>
    <m/>
    <n v="5.8600000000000003E-13"/>
    <s v="Loferer-Krossbacher et al. 1998"/>
    <m/>
    <s v="DW of E. coli cells ranged from 83 to 1,172 fg"/>
    <m/>
    <m/>
  </r>
  <r>
    <x v="1"/>
    <x v="1"/>
    <s v="Bacteria - heterotroph"/>
    <s v="Groundwater bacteria large"/>
    <m/>
    <n v="0.09"/>
    <n v="8.9999999999999999E-8"/>
    <m/>
    <m/>
    <m/>
    <m/>
    <m/>
    <m/>
    <m/>
    <m/>
    <m/>
    <m/>
    <m/>
    <s v="Marxen 1988"/>
    <m/>
    <m/>
    <m/>
    <m/>
  </r>
  <r>
    <x v="1"/>
    <x v="1"/>
    <s v="Bacteria - general"/>
    <s v="Average benthic, marine prokaryote"/>
    <m/>
    <m/>
    <m/>
    <m/>
    <m/>
    <n v="1.1000000000000001E-8"/>
    <m/>
    <m/>
    <m/>
    <m/>
    <m/>
    <m/>
    <m/>
    <n v="1.1E-14"/>
    <s v="Bar-On et al. 2018 "/>
    <m/>
    <s v="11 fgC/cell"/>
    <m/>
    <m/>
  </r>
  <r>
    <x v="1"/>
    <x v="1"/>
    <s v="Bacteria - general"/>
    <s v="Constant biomass model for bacteria"/>
    <m/>
    <m/>
    <m/>
    <m/>
    <m/>
    <n v="2.0000000000000004E-8"/>
    <m/>
    <m/>
    <m/>
    <m/>
    <m/>
    <m/>
    <m/>
    <n v="2.0000000000000003E-14"/>
    <s v="Lee and Fuhrman 1987"/>
    <m/>
    <m/>
    <m/>
    <m/>
  </r>
  <r>
    <x v="1"/>
    <x v="1"/>
    <s v="Bacteria - general"/>
    <s v="Groundwater bacteria small"/>
    <m/>
    <n v="7.1999999999999995E-2"/>
    <n v="7.1999999999999996E-8"/>
    <m/>
    <m/>
    <m/>
    <m/>
    <n v="7.1999999999999997E-11"/>
    <m/>
    <m/>
    <m/>
    <m/>
    <m/>
    <m/>
    <s v="Marxen 1988"/>
    <m/>
    <s v="V in microm3"/>
    <m/>
    <m/>
  </r>
  <r>
    <x v="1"/>
    <x v="1"/>
    <s v="Bacteria - general"/>
    <s v="Aquatic prokaryote small"/>
    <m/>
    <m/>
    <m/>
    <m/>
    <m/>
    <n v="5.0000000000000009E-9"/>
    <m/>
    <m/>
    <m/>
    <m/>
    <m/>
    <m/>
    <m/>
    <n v="5.0000000000000008E-15"/>
    <s v="Whitman et al. 1998"/>
    <m/>
    <m/>
    <m/>
    <m/>
  </r>
  <r>
    <x v="1"/>
    <x v="1"/>
    <s v="Bacteria - general"/>
    <s v="Aquatic prokaryotes large"/>
    <m/>
    <m/>
    <m/>
    <m/>
    <m/>
    <n v="2.0000000000000004E-8"/>
    <m/>
    <m/>
    <m/>
    <m/>
    <m/>
    <m/>
    <m/>
    <n v="2.0000000000000003E-14"/>
    <s v="Whitman et al. 1998"/>
    <m/>
    <m/>
    <m/>
    <m/>
  </r>
  <r>
    <x v="1"/>
    <x v="1"/>
    <s v="Bacteria - general"/>
    <s v="Average benthic prokaryotes"/>
    <m/>
    <m/>
    <m/>
    <m/>
    <m/>
    <n v="1.0000000000000002E-8"/>
    <m/>
    <m/>
    <m/>
    <m/>
    <m/>
    <m/>
    <m/>
    <n v="1.0000000000000002E-14"/>
    <s v="Whitman et al. 1998"/>
    <m/>
    <m/>
    <m/>
    <m/>
  </r>
  <r>
    <x v="1"/>
    <x v="1"/>
    <s v="Bacteria - general"/>
    <s v="Average planktonic prokayote"/>
    <m/>
    <m/>
    <m/>
    <m/>
    <m/>
    <n v="2.0000000000000004E-8"/>
    <m/>
    <m/>
    <m/>
    <m/>
    <m/>
    <m/>
    <m/>
    <n v="2.0000000000000003E-14"/>
    <s v="Whitman et al. 1998"/>
    <m/>
    <m/>
    <m/>
    <m/>
  </r>
  <r>
    <x v="1"/>
    <x v="1"/>
    <s v="Bacteria"/>
    <s v="small"/>
    <m/>
    <m/>
    <m/>
    <m/>
    <m/>
    <m/>
    <m/>
    <m/>
    <m/>
    <m/>
    <n v="1.0000000000000001E-15"/>
    <m/>
    <m/>
    <m/>
    <s v="Andersen et al. 2015 2015"/>
    <m/>
    <m/>
    <m/>
    <m/>
  </r>
  <r>
    <x v="1"/>
    <x v="1"/>
    <s v="Bacteria"/>
    <s v="small"/>
    <m/>
    <m/>
    <m/>
    <m/>
    <m/>
    <m/>
    <m/>
    <m/>
    <n v="1E-14"/>
    <m/>
    <m/>
    <m/>
    <m/>
    <m/>
    <s v="Hatton et al. 2021"/>
    <s v="smallest cell"/>
    <s v="bacteria body mass range 10-14 10-11"/>
    <m/>
    <m/>
  </r>
  <r>
    <x v="1"/>
    <x v="1"/>
    <s v="Bacteria"/>
    <s v="large"/>
    <m/>
    <m/>
    <m/>
    <m/>
    <m/>
    <m/>
    <m/>
    <m/>
    <n v="9.9999999999999994E-12"/>
    <m/>
    <m/>
    <m/>
    <m/>
    <m/>
    <s v="Hatton et al. 2021"/>
    <m/>
    <s v="bacteria body mass range 10-14 10-12"/>
    <m/>
    <m/>
  </r>
  <r>
    <x v="1"/>
    <x v="1"/>
    <s v="Bacteria"/>
    <m/>
    <m/>
    <n v="7.1999999999999995E-2"/>
    <m/>
    <m/>
    <m/>
    <m/>
    <m/>
    <m/>
    <m/>
    <m/>
    <m/>
    <m/>
    <m/>
    <m/>
    <s v="Marxen 1988"/>
    <m/>
    <m/>
    <m/>
    <m/>
  </r>
  <r>
    <x v="1"/>
    <x v="1"/>
    <s v="Bacteria"/>
    <m/>
    <m/>
    <n v="0.09"/>
    <m/>
    <m/>
    <m/>
    <m/>
    <m/>
    <m/>
    <m/>
    <m/>
    <m/>
    <m/>
    <m/>
    <m/>
    <s v="Marxen 1988"/>
    <m/>
    <m/>
    <m/>
    <m/>
  </r>
  <r>
    <x v="2"/>
    <x v="2"/>
    <s v="Protists - phototroph"/>
    <s v="smallest phototrophic protists"/>
    <n v="2"/>
    <m/>
    <m/>
    <m/>
    <m/>
    <m/>
    <m/>
    <m/>
    <m/>
    <m/>
    <m/>
    <m/>
    <n v="1.9999999999999999E-6"/>
    <m/>
    <s v="Hartmann et al. 2011"/>
    <m/>
    <s v="under 2 microm"/>
    <m/>
    <m/>
  </r>
  <r>
    <x v="2"/>
    <x v="2"/>
    <s v="Protists - phototroph"/>
    <s v="Ostreococcus tauri "/>
    <n v="1.06"/>
    <m/>
    <m/>
    <m/>
    <m/>
    <m/>
    <n v="1.06E-3"/>
    <m/>
    <m/>
    <m/>
    <m/>
    <m/>
    <n v="1.06E-6"/>
    <m/>
    <s v="Andersen et al. 2015"/>
    <m/>
    <s v="cm"/>
    <m/>
    <m/>
  </r>
  <r>
    <x v="2"/>
    <x v="2"/>
    <s v="Protists - mixotroph"/>
    <s v="Picophytoplankton"/>
    <n v="1.4999999999999998"/>
    <m/>
    <m/>
    <m/>
    <m/>
    <m/>
    <n v="1.4999999999999998E-3"/>
    <m/>
    <m/>
    <m/>
    <m/>
    <m/>
    <n v="1.4999999999999996E-6"/>
    <m/>
    <s v="Andersen et al. 2015"/>
    <m/>
    <s v="cm"/>
    <m/>
    <m/>
  </r>
  <r>
    <x v="2"/>
    <x v="2"/>
    <s v="Protists - heterotroph"/>
    <s v="Ciliate small"/>
    <n v="15"/>
    <n v="196.34954084936206"/>
    <n v="1.9634954084936205E-4"/>
    <m/>
    <m/>
    <n v="2.7488935718910689E-5"/>
    <m/>
    <m/>
    <m/>
    <m/>
    <m/>
    <m/>
    <n v="1.4999999999999999E-5"/>
    <n v="2.7488935718910689E-11"/>
    <s v="unpublished data used in Reiss &amp; Schmid-Araya 2010"/>
    <m/>
    <m/>
    <m/>
    <m/>
  </r>
  <r>
    <x v="2"/>
    <x v="2"/>
    <s v="Protists - mixotroph"/>
    <s v="Fragilidium cf. mexicanum"/>
    <n v="54.5"/>
    <m/>
    <m/>
    <m/>
    <m/>
    <m/>
    <n v="5.45E-2"/>
    <m/>
    <m/>
    <m/>
    <m/>
    <m/>
    <n v="5.4499999999999997E-5"/>
    <m/>
    <s v="Andersen et al. 2015"/>
    <m/>
    <s v="cm"/>
    <m/>
    <m/>
  </r>
  <r>
    <x v="2"/>
    <x v="2"/>
    <s v="Protists - phototroph"/>
    <s v="Neocalyptrella robusta"/>
    <n v="1008.8110000000001"/>
    <m/>
    <m/>
    <m/>
    <m/>
    <m/>
    <n v="1.0088110000000001"/>
    <m/>
    <m/>
    <m/>
    <m/>
    <m/>
    <n v="1.0088110000000001E-3"/>
    <m/>
    <s v="Andersen et al. 2015"/>
    <m/>
    <s v="cm"/>
    <m/>
    <m/>
  </r>
  <r>
    <x v="2"/>
    <x v="2"/>
    <s v="Protists - heterotroph"/>
    <s v="Ciliate large (Spirostomum sp.)"/>
    <n v="3310"/>
    <n v="13429490.471009493"/>
    <n v="13.429490471009492"/>
    <m/>
    <m/>
    <n v="1.8801286659413292"/>
    <m/>
    <m/>
    <m/>
    <m/>
    <m/>
    <m/>
    <n v="3.31E-3"/>
    <n v="1.8801286659413292E-6"/>
    <s v="unpublished data used in Reiss &amp; Schmid-Araya 2010"/>
    <m/>
    <m/>
    <m/>
    <m/>
  </r>
  <r>
    <x v="2"/>
    <x v="2"/>
    <s v="Protists - heterotroph"/>
    <s v="Cyclidium glaucoma"/>
    <m/>
    <m/>
    <n v="2.9610000000000001E-3"/>
    <m/>
    <m/>
    <m/>
    <m/>
    <n v="2.961E-9"/>
    <m/>
    <m/>
    <m/>
    <m/>
    <m/>
    <m/>
    <s v="Finlay 1977"/>
    <m/>
    <m/>
    <m/>
    <m/>
  </r>
  <r>
    <x v="2"/>
    <x v="2"/>
    <s v="Protists - heterotroph"/>
    <s v="Spirostomum teres"/>
    <m/>
    <m/>
    <n v="0.21740000000000001"/>
    <m/>
    <m/>
    <m/>
    <m/>
    <n v="2.174E-7"/>
    <m/>
    <m/>
    <m/>
    <m/>
    <m/>
    <m/>
    <s v="Finlay 1977"/>
    <m/>
    <m/>
    <m/>
    <m/>
  </r>
  <r>
    <x v="2"/>
    <x v="2"/>
    <s v="Protists - heterotroph"/>
    <s v="Amoeba Proteus"/>
    <m/>
    <n v="497000"/>
    <n v="0.497"/>
    <m/>
    <m/>
    <m/>
    <m/>
    <m/>
    <m/>
    <m/>
    <m/>
    <m/>
    <m/>
    <m/>
    <s v="Prescott 1955"/>
    <m/>
    <m/>
    <m/>
    <m/>
  </r>
  <r>
    <x v="2"/>
    <x v="2"/>
    <s v="Protists - general"/>
    <s v="Marine protists"/>
    <m/>
    <m/>
    <m/>
    <m/>
    <m/>
    <n v="8.0000000000000007E-7"/>
    <m/>
    <m/>
    <m/>
    <m/>
    <m/>
    <m/>
    <m/>
    <n v="8.0000000000000002E-13"/>
    <s v="Bar-On et al. 2018 "/>
    <m/>
    <s v="≈0.8×10-12 g C cell-1 "/>
    <m/>
    <m/>
  </r>
  <r>
    <x v="2"/>
    <x v="2"/>
    <s v="Protists - autotroph"/>
    <s v="Tabularia fasciculata"/>
    <m/>
    <m/>
    <n v="5.0000000000000001E-4"/>
    <m/>
    <m/>
    <m/>
    <m/>
    <n v="5.0000000000000003E-10"/>
    <m/>
    <m/>
    <m/>
    <m/>
    <m/>
    <m/>
    <s v="Hillebrand et al. 1999"/>
    <m/>
    <n v="500"/>
    <m/>
    <m/>
  </r>
  <r>
    <x v="2"/>
    <x v="2"/>
    <s v="Protists - autotroph"/>
    <s v="Melosira moniliformis"/>
    <m/>
    <m/>
    <n v="5.7499999999999999E-3"/>
    <m/>
    <m/>
    <m/>
    <m/>
    <n v="5.7500000000000002E-9"/>
    <m/>
    <m/>
    <m/>
    <m/>
    <m/>
    <m/>
    <s v="Hillebrand et al. 1999"/>
    <m/>
    <n v="5750"/>
    <m/>
    <m/>
  </r>
  <r>
    <x v="2"/>
    <x v="2"/>
    <s v="Protists - autotroph"/>
    <s v="Diatom Navicula grevillei"/>
    <m/>
    <m/>
    <n v="1.4E-3"/>
    <m/>
    <m/>
    <m/>
    <m/>
    <n v="1.3999999999999999E-9"/>
    <m/>
    <m/>
    <m/>
    <m/>
    <m/>
    <m/>
    <s v="Hillebrand et al. 1999"/>
    <m/>
    <n v="1400"/>
    <m/>
    <m/>
  </r>
  <r>
    <x v="2"/>
    <x v="2"/>
    <s v="Protists - autotroph"/>
    <s v="Diatom Navicula gregaria"/>
    <m/>
    <m/>
    <m/>
    <m/>
    <m/>
    <n v="5.5249696969697002E-5"/>
    <m/>
    <m/>
    <m/>
    <m/>
    <m/>
    <m/>
    <m/>
    <n v="5.5249696969697003E-11"/>
    <s v="Katrin Layer data unpubl."/>
    <m/>
    <m/>
    <m/>
    <m/>
  </r>
  <r>
    <x v="2"/>
    <x v="2"/>
    <s v="Protists - heterotroph"/>
    <s v="heterotrophic nanoflagellates"/>
    <n v="15"/>
    <m/>
    <m/>
    <m/>
    <m/>
    <m/>
    <m/>
    <m/>
    <m/>
    <m/>
    <m/>
    <m/>
    <n v="1.5E-5"/>
    <m/>
    <s v="Boenigk and Arndt, 2002"/>
    <s v="15microm"/>
    <m/>
    <m/>
    <m/>
  </r>
  <r>
    <x v="2"/>
    <x v="2"/>
    <s v="Protists - heterotroph"/>
    <s v="Sprirostomum spp."/>
    <n v="2000"/>
    <m/>
    <m/>
    <m/>
    <m/>
    <m/>
    <m/>
    <m/>
    <m/>
    <m/>
    <m/>
    <m/>
    <n v="2E-3"/>
    <m/>
    <s v="Foissner and Berger, 1996"/>
    <s v="2mm"/>
    <m/>
    <m/>
    <m/>
  </r>
  <r>
    <x v="3"/>
    <x v="3"/>
    <s v="Micro-metazoans"/>
    <s v="Rotifer Colurella colurus"/>
    <n v="65"/>
    <m/>
    <m/>
    <m/>
    <m/>
    <n v="3.9543161280887777E-3"/>
    <m/>
    <m/>
    <m/>
    <m/>
    <m/>
    <m/>
    <n v="6.4999999999999994E-5"/>
    <n v="3.9543161280887781E-9"/>
    <s v="unpublished data used in Reiss &amp; Schmid-Araya 2010"/>
    <m/>
    <m/>
    <m/>
    <m/>
  </r>
  <r>
    <x v="3"/>
    <x v="3"/>
    <s v="Micro-metazoans"/>
    <s v="Nematode family Dorylaimidae"/>
    <n v="3171"/>
    <m/>
    <m/>
    <m/>
    <m/>
    <n v="1.3827469023323613"/>
    <m/>
    <m/>
    <m/>
    <m/>
    <m/>
    <m/>
    <n v="3.1709999999999998E-3"/>
    <n v="1.3827469023323613E-6"/>
    <s v="unpublished data used in Reiss &amp; Schmid-Araya 2010"/>
    <m/>
    <m/>
    <m/>
    <m/>
  </r>
  <r>
    <x v="3"/>
    <x v="3"/>
    <s v="Micro-metazoans"/>
    <s v="most nematodes"/>
    <m/>
    <m/>
    <n v="1"/>
    <n v="1"/>
    <m/>
    <m/>
    <m/>
    <n v="9.9999999999999995E-7"/>
    <m/>
    <m/>
    <n v="9.9999999999999995E-7"/>
    <m/>
    <m/>
    <m/>
    <s v="Andrassy 1956"/>
    <m/>
    <m/>
    <m/>
    <m/>
  </r>
  <r>
    <x v="3"/>
    <x v="3"/>
    <s v="Micro-metazoans"/>
    <s v="Mesozooplankton marine large"/>
    <m/>
    <m/>
    <m/>
    <m/>
    <m/>
    <n v="100"/>
    <m/>
    <m/>
    <m/>
    <m/>
    <m/>
    <m/>
    <m/>
    <n v="1E-4"/>
    <s v="Bar-On et al. 2018"/>
    <m/>
    <m/>
    <m/>
    <m/>
  </r>
  <r>
    <x v="3"/>
    <x v="3"/>
    <s v="Micro-metazoans"/>
    <s v="Mesozooplankton marine small"/>
    <m/>
    <m/>
    <m/>
    <m/>
    <m/>
    <n v="0.15"/>
    <m/>
    <m/>
    <m/>
    <m/>
    <m/>
    <m/>
    <m/>
    <n v="1.4999999999999999E-7"/>
    <s v="Bar-On et al. 2018"/>
    <m/>
    <s v="≈4 μg C"/>
    <m/>
    <m/>
  </r>
  <r>
    <x v="3"/>
    <x v="3"/>
    <s v="Micro-metazoans"/>
    <s v="Nematoda"/>
    <m/>
    <m/>
    <m/>
    <m/>
    <m/>
    <n v="0.05"/>
    <m/>
    <m/>
    <m/>
    <m/>
    <m/>
    <m/>
    <m/>
    <n v="5.0000000000000004E-8"/>
    <s v="Bar-On et al. 2018"/>
    <m/>
    <s v="≈0.05 μg C"/>
    <m/>
    <m/>
  </r>
  <r>
    <x v="3"/>
    <x v="3"/>
    <s v="Micro-metazoans"/>
    <s v="Copepoda small"/>
    <m/>
    <m/>
    <m/>
    <m/>
    <m/>
    <n v="7.0000000000000007E-2"/>
    <m/>
    <m/>
    <m/>
    <m/>
    <m/>
    <m/>
    <m/>
    <n v="7.0000000000000005E-8"/>
    <s v="Bott &amp; Borchard"/>
    <m/>
    <n v="7.0000000000000007E-2"/>
    <m/>
    <m/>
  </r>
  <r>
    <x v="3"/>
    <x v="3"/>
    <s v="Micro-metazoans"/>
    <s v="Copepoda large"/>
    <m/>
    <m/>
    <m/>
    <m/>
    <m/>
    <n v="5.032"/>
    <m/>
    <m/>
    <m/>
    <m/>
    <m/>
    <m/>
    <m/>
    <n v="5.0320000000000003E-6"/>
    <s v="Bott &amp; Borchard"/>
    <m/>
    <n v="5.032"/>
    <m/>
    <m/>
  </r>
  <r>
    <x v="3"/>
    <x v="3"/>
    <s v="Micro-metazoans"/>
    <s v="Oligochaetes, small"/>
    <m/>
    <m/>
    <m/>
    <m/>
    <m/>
    <n v="0.24"/>
    <m/>
    <m/>
    <m/>
    <m/>
    <m/>
    <m/>
    <m/>
    <n v="2.3999999999999998E-7"/>
    <s v="Bott &amp; Borchard"/>
    <m/>
    <n v="0.24"/>
    <m/>
    <m/>
  </r>
  <r>
    <x v="3"/>
    <x v="3"/>
    <s v="Micro-metazoans"/>
    <s v="Oligochaetes, large"/>
    <m/>
    <m/>
    <m/>
    <m/>
    <m/>
    <n v="4.7"/>
    <m/>
    <m/>
    <m/>
    <m/>
    <m/>
    <m/>
    <m/>
    <n v="4.6999999999999999E-6"/>
    <s v="Bott &amp; Borchard"/>
    <m/>
    <n v="4.7"/>
    <m/>
    <m/>
  </r>
  <r>
    <x v="3"/>
    <x v="3"/>
    <s v="Micro-metazoans"/>
    <s v="Chrironomids, small"/>
    <m/>
    <m/>
    <m/>
    <m/>
    <m/>
    <n v="1.6"/>
    <m/>
    <m/>
    <m/>
    <m/>
    <m/>
    <m/>
    <m/>
    <n v="1.6000000000000001E-6"/>
    <s v="Bott &amp; Borchard"/>
    <m/>
    <n v="1.6"/>
    <m/>
    <m/>
  </r>
  <r>
    <x v="3"/>
    <x v="3"/>
    <s v="Micro-metazoans"/>
    <s v="Chrironomids, large"/>
    <m/>
    <m/>
    <m/>
    <m/>
    <m/>
    <n v="5.2"/>
    <m/>
    <m/>
    <m/>
    <m/>
    <m/>
    <m/>
    <m/>
    <n v="5.2000000000000002E-6"/>
    <s v="Bott &amp; Borchard"/>
    <m/>
    <n v="5.2"/>
    <m/>
    <m/>
  </r>
  <r>
    <x v="3"/>
    <x v="3"/>
    <s v="Micro-metazoans"/>
    <s v="Copepod nauplii"/>
    <m/>
    <m/>
    <m/>
    <m/>
    <m/>
    <n v="0.02"/>
    <m/>
    <m/>
    <m/>
    <m/>
    <m/>
    <m/>
    <m/>
    <n v="2E-8"/>
    <s v="Gradinger"/>
    <m/>
    <n v="0.02"/>
    <m/>
    <m/>
  </r>
  <r>
    <x v="3"/>
    <x v="3"/>
    <s v="Micro-metazoans"/>
    <s v="Nematoda"/>
    <m/>
    <m/>
    <m/>
    <m/>
    <m/>
    <n v="0.13"/>
    <m/>
    <m/>
    <m/>
    <m/>
    <m/>
    <m/>
    <m/>
    <n v="1.3E-7"/>
    <s v="Gradinger 1999"/>
    <m/>
    <n v="0.13"/>
    <m/>
    <m/>
  </r>
  <r>
    <x v="3"/>
    <x v="3"/>
    <s v="Micro-metazoans"/>
    <s v="Rotatoria"/>
    <m/>
    <m/>
    <m/>
    <m/>
    <m/>
    <n v="2.3E-2"/>
    <m/>
    <m/>
    <m/>
    <m/>
    <m/>
    <m/>
    <m/>
    <n v="2.3000000000000001E-8"/>
    <s v="Gradinger 1999"/>
    <m/>
    <n v="2.3E-2"/>
    <m/>
    <m/>
  </r>
  <r>
    <x v="4"/>
    <x v="4"/>
    <s v="Macrofauna"/>
    <s v="Asellus aquaticus small "/>
    <n v="4000"/>
    <s v="na"/>
    <s v="na"/>
    <s v="na"/>
    <m/>
    <m/>
    <m/>
    <m/>
    <m/>
    <m/>
    <n v="2.1000000000000003E-3"/>
    <m/>
    <n v="4.0000000000000001E-3"/>
    <m/>
    <s v="Reiss et al. 2011"/>
    <s v="4-8 vs. 8–12 mm length for A. aquaticus and G. pulex; 9–14 vs. 14–19 Sericostoma"/>
    <s v="2.1mg"/>
    <m/>
    <n v="2.1"/>
  </r>
  <r>
    <x v="4"/>
    <x v="4"/>
    <s v="Macrofauna"/>
    <s v="Gammarus pulex small"/>
    <n v="4000"/>
    <m/>
    <m/>
    <m/>
    <m/>
    <m/>
    <m/>
    <m/>
    <m/>
    <m/>
    <n v="2.2000000000000001E-3"/>
    <m/>
    <n v="4.0000000000000001E-3"/>
    <m/>
    <s v="Reiss et al. 2011"/>
    <s v="4-8 vs. 8–12 mm length for A. aquaticus and G. pulex; 9–14 vs. 14–19 Sericostoma"/>
    <m/>
    <m/>
    <m/>
  </r>
  <r>
    <x v="4"/>
    <x v="4"/>
    <s v="Macrofauna"/>
    <s v="Sericostoma personatum small"/>
    <n v="9000"/>
    <s v="na"/>
    <s v="na"/>
    <s v="na"/>
    <m/>
    <m/>
    <m/>
    <m/>
    <m/>
    <m/>
    <n v="8.6999999999999994E-3"/>
    <m/>
    <n v="8.9999999999999993E-3"/>
    <m/>
    <s v="Reiss et al. 2011"/>
    <s v="4-8 vs. 8–12 mm length for A. aquaticus and G. pulex; 9–14 vs. 14–19 Sericostoma"/>
    <m/>
    <m/>
    <n v="6.7"/>
  </r>
  <r>
    <x v="4"/>
    <x v="4"/>
    <s v="Macrofauna"/>
    <s v="Asellus aquaticus large"/>
    <n v="12000"/>
    <s v="na"/>
    <s v="na"/>
    <s v="na"/>
    <m/>
    <m/>
    <m/>
    <m/>
    <m/>
    <m/>
    <n v="6.1999999999999998E-3"/>
    <m/>
    <n v="1.2E-2"/>
    <m/>
    <s v="Reiss et al. 2011"/>
    <s v="4-8 vs. 8–12 mm length for A. aquaticus and G. pulex; 9–14 vs. 14–19 Sericostoma"/>
    <m/>
    <m/>
    <n v="2.2000000000000002"/>
  </r>
  <r>
    <x v="4"/>
    <x v="4"/>
    <s v="Macrofauna"/>
    <s v="Gammarus pulex large"/>
    <n v="12000"/>
    <s v="na"/>
    <s v="na"/>
    <s v="na"/>
    <m/>
    <m/>
    <m/>
    <m/>
    <m/>
    <m/>
    <n v="6.7000000000000002E-3"/>
    <m/>
    <n v="1.2E-2"/>
    <m/>
    <s v="Reiss et al. 2011"/>
    <s v="4-8 vs. 8–12 mm length for A. aquaticus and G. pulex; 9–14 vs. 14–19 Sericostoma"/>
    <m/>
    <m/>
    <n v="6.2"/>
  </r>
  <r>
    <x v="4"/>
    <x v="4"/>
    <s v="Macrofauna"/>
    <s v="Sericostoma personatum large"/>
    <n v="19000"/>
    <m/>
    <m/>
    <m/>
    <m/>
    <m/>
    <m/>
    <m/>
    <m/>
    <m/>
    <n v="1.6E-2"/>
    <m/>
    <n v="1.9E-2"/>
    <m/>
    <s v="Reiss et al. 2011"/>
    <s v="4-8 vs. 8–12 mm length for A. aquaticus and G. pulex; 9–14 vs. 14–19 Sericostoma"/>
    <m/>
    <m/>
    <m/>
  </r>
  <r>
    <x v="4"/>
    <x v="4"/>
    <s v="Macrozooplankton"/>
    <s v="small"/>
    <m/>
    <m/>
    <m/>
    <m/>
    <m/>
    <m/>
    <m/>
    <m/>
    <m/>
    <m/>
    <m/>
    <m/>
    <n v="0.02"/>
    <m/>
    <s v="Colombet et al. 2020"/>
    <s v="definition for macrozooplankton 2-20cm"/>
    <m/>
    <m/>
    <m/>
  </r>
  <r>
    <x v="4"/>
    <x v="4"/>
    <s v="Macrozooplankton"/>
    <s v="large"/>
    <m/>
    <m/>
    <m/>
    <m/>
    <m/>
    <m/>
    <m/>
    <m/>
    <m/>
    <m/>
    <m/>
    <m/>
    <n v="0.2"/>
    <m/>
    <s v="Colombet et al. 2020"/>
    <s v="definition for macrozooplankton 2-20cm"/>
    <m/>
    <m/>
    <m/>
  </r>
  <r>
    <x v="4"/>
    <x v="4"/>
    <s v="Mesozooplankton"/>
    <m/>
    <m/>
    <m/>
    <m/>
    <m/>
    <m/>
    <n v="0.15"/>
    <m/>
    <m/>
    <m/>
    <m/>
    <m/>
    <m/>
    <m/>
    <n v="1.4999999999999999E-7"/>
    <s v="Bar-On et al. 2018 "/>
    <m/>
    <m/>
    <m/>
    <m/>
  </r>
  <r>
    <x v="4"/>
    <x v="4"/>
    <s v="Mesozooplankton"/>
    <m/>
    <m/>
    <m/>
    <m/>
    <m/>
    <m/>
    <n v="100"/>
    <m/>
    <m/>
    <m/>
    <m/>
    <m/>
    <m/>
    <m/>
    <n v="1E-4"/>
    <s v="Bar-On et al. 2018 "/>
    <m/>
    <m/>
    <m/>
    <m/>
  </r>
  <r>
    <x v="4"/>
    <x v="4"/>
    <s v="Mesozooplankton"/>
    <s v="small"/>
    <m/>
    <m/>
    <m/>
    <m/>
    <m/>
    <m/>
    <m/>
    <m/>
    <m/>
    <m/>
    <n v="9.9999999999999995E-7"/>
    <m/>
    <m/>
    <m/>
    <s v="Hatton et al. 2021"/>
    <m/>
    <s v="Mesozooplankton 10-6 10"/>
    <m/>
    <m/>
  </r>
  <r>
    <x v="4"/>
    <x v="4"/>
    <s v="Mesozooplankton"/>
    <s v="large"/>
    <m/>
    <m/>
    <m/>
    <m/>
    <m/>
    <m/>
    <m/>
    <m/>
    <m/>
    <m/>
    <n v="10"/>
    <m/>
    <m/>
    <m/>
    <s v="Hatton et al. 2021"/>
    <m/>
    <s v="Mesozooplankton 10-6 10"/>
    <m/>
    <m/>
  </r>
  <r>
    <x v="4"/>
    <x v="4"/>
    <s v="Macrozooplankton"/>
    <s v="small"/>
    <m/>
    <m/>
    <m/>
    <m/>
    <m/>
    <m/>
    <m/>
    <m/>
    <m/>
    <m/>
    <n v="1E-3"/>
    <m/>
    <m/>
    <m/>
    <s v="Hatton et al. 2021"/>
    <m/>
    <s v="Macrozooplankton 10-3 103"/>
    <m/>
    <m/>
  </r>
  <r>
    <x v="4"/>
    <x v="4"/>
    <s v="Macrozooplankton"/>
    <s v="large"/>
    <m/>
    <m/>
    <m/>
    <m/>
    <m/>
    <m/>
    <m/>
    <m/>
    <m/>
    <m/>
    <n v="1000"/>
    <m/>
    <m/>
    <m/>
    <s v="Hatton et al. 2021"/>
    <m/>
    <s v="Macrozooplankton 10-3 103"/>
    <m/>
    <m/>
  </r>
  <r>
    <x v="5"/>
    <x v="5"/>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ADE230-07DC-42F0-9250-5F436E1F4C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23">
    <pivotField axis="axisRow" showAll="0">
      <items count="7">
        <item x="4"/>
        <item x="3"/>
        <item x="2"/>
        <item x="1"/>
        <item x="0"/>
        <item x="5"/>
        <item t="default"/>
      </items>
    </pivotField>
    <pivotField axis="axisRow" showAll="0">
      <items count="7">
        <item x="1"/>
        <item x="4"/>
        <item x="3"/>
        <item x="2"/>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2">
    <field x="0"/>
    <field x="1"/>
  </rowFields>
  <rowItems count="13">
    <i>
      <x/>
    </i>
    <i r="1">
      <x v="1"/>
    </i>
    <i>
      <x v="1"/>
    </i>
    <i r="1">
      <x v="2"/>
    </i>
    <i>
      <x v="2"/>
    </i>
    <i r="1">
      <x v="3"/>
    </i>
    <i>
      <x v="3"/>
    </i>
    <i r="1">
      <x/>
    </i>
    <i>
      <x v="4"/>
    </i>
    <i r="1">
      <x v="4"/>
    </i>
    <i>
      <x v="5"/>
    </i>
    <i r="1">
      <x v="5"/>
    </i>
    <i t="grand">
      <x/>
    </i>
  </rowItems>
  <colFields count="1">
    <field x="-2"/>
  </colFields>
  <colItems count="2">
    <i>
      <x/>
    </i>
    <i i="1">
      <x v="1"/>
    </i>
  </colItems>
  <dataFields count="2">
    <dataField name="Min of gC/ind." fld="17" subtotal="min" baseField="1" baseItem="0"/>
    <dataField name="Max of gC/ind.2" fld="17"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milo-lab.github.io/biomass_distribution/viruses/carbon_content/phage_carbon_content.html"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D3441-7F25-40E0-9D13-AAF9431ACCC8}">
  <dimension ref="A1:AA48"/>
  <sheetViews>
    <sheetView topLeftCell="A14" workbookViewId="0">
      <selection activeCell="K20" sqref="K20"/>
    </sheetView>
  </sheetViews>
  <sheetFormatPr defaultRowHeight="14.5" x14ac:dyDescent="0.35"/>
  <sheetData>
    <row r="1" spans="1:1" x14ac:dyDescent="0.35">
      <c r="A1" t="s">
        <v>0</v>
      </c>
    </row>
    <row r="3" spans="1:1" x14ac:dyDescent="0.35">
      <c r="A3" t="s">
        <v>1</v>
      </c>
    </row>
    <row r="5" spans="1:1" x14ac:dyDescent="0.35">
      <c r="A5" t="s">
        <v>2</v>
      </c>
    </row>
    <row r="7" spans="1:1" x14ac:dyDescent="0.35">
      <c r="A7" t="s">
        <v>3</v>
      </c>
    </row>
    <row r="8" spans="1:1" x14ac:dyDescent="0.35">
      <c r="A8" t="s">
        <v>4</v>
      </c>
    </row>
    <row r="9" spans="1:1" x14ac:dyDescent="0.35">
      <c r="A9" t="s">
        <v>5</v>
      </c>
    </row>
    <row r="11" spans="1:1" x14ac:dyDescent="0.35">
      <c r="A11" t="s">
        <v>6</v>
      </c>
    </row>
    <row r="12" spans="1:1" x14ac:dyDescent="0.35">
      <c r="A12" t="s">
        <v>7</v>
      </c>
    </row>
    <row r="14" spans="1:1" x14ac:dyDescent="0.35">
      <c r="A14" t="s">
        <v>8</v>
      </c>
    </row>
    <row r="17" spans="1:2" x14ac:dyDescent="0.35">
      <c r="A17" t="s">
        <v>9</v>
      </c>
      <c r="B17" s="62"/>
    </row>
    <row r="18" spans="1:2" x14ac:dyDescent="0.35">
      <c r="B18" t="s">
        <v>10</v>
      </c>
    </row>
    <row r="19" spans="1:2" x14ac:dyDescent="0.35">
      <c r="B19" t="s">
        <v>11</v>
      </c>
    </row>
    <row r="21" spans="1:2" x14ac:dyDescent="0.35">
      <c r="B21" s="62"/>
    </row>
    <row r="26" spans="1:2" x14ac:dyDescent="0.35">
      <c r="A26" t="s">
        <v>12</v>
      </c>
    </row>
    <row r="29" spans="1:2" x14ac:dyDescent="0.35">
      <c r="A29" t="s">
        <v>13</v>
      </c>
    </row>
    <row r="30" spans="1:2" x14ac:dyDescent="0.35">
      <c r="A30" t="s">
        <v>14</v>
      </c>
    </row>
    <row r="32" spans="1:2" x14ac:dyDescent="0.35">
      <c r="A32" t="s">
        <v>15</v>
      </c>
    </row>
    <row r="33" spans="2:27" x14ac:dyDescent="0.35">
      <c r="B33" t="s">
        <v>16</v>
      </c>
    </row>
    <row r="34" spans="2:27" x14ac:dyDescent="0.35">
      <c r="B34" t="s">
        <v>17</v>
      </c>
    </row>
    <row r="48" spans="2:27" x14ac:dyDescent="0.35">
      <c r="AA48"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ABB1B-632B-4EBF-830F-B8B043EFC4CF}">
  <dimension ref="A1:Y91"/>
  <sheetViews>
    <sheetView topLeftCell="F61" workbookViewId="0">
      <selection activeCell="U61" sqref="U61"/>
    </sheetView>
  </sheetViews>
  <sheetFormatPr defaultRowHeight="14.5" x14ac:dyDescent="0.35"/>
  <cols>
    <col min="2" max="2" width="8.7265625" style="36"/>
    <col min="3" max="4" width="6.453125" style="3" customWidth="1"/>
    <col min="5" max="5" width="17.54296875" style="3" customWidth="1"/>
    <col min="6" max="6" width="24.81640625" style="3" bestFit="1" customWidth="1"/>
    <col min="7" max="7" width="6.81640625" style="49" bestFit="1" customWidth="1"/>
    <col min="8" max="8" width="8.1796875" style="7" bestFit="1" customWidth="1"/>
    <col min="9" max="10" width="6.81640625" style="7" bestFit="1" customWidth="1"/>
    <col min="11" max="11" width="9.81640625" style="7" bestFit="1" customWidth="1"/>
    <col min="12" max="12" width="7.453125" style="49" bestFit="1" customWidth="1"/>
    <col min="13" max="13" width="6.81640625" style="4" bestFit="1" customWidth="1"/>
    <col min="14" max="14" width="6.54296875" style="4" bestFit="1" customWidth="1"/>
    <col min="15" max="16" width="6.54296875" style="4" customWidth="1"/>
    <col min="17" max="17" width="7.453125" style="4" bestFit="1" customWidth="1"/>
    <col min="18" max="18" width="9.81640625" style="3" bestFit="1" customWidth="1"/>
    <col min="19" max="20" width="9.81640625" style="51" bestFit="1" customWidth="1"/>
    <col min="21" max="21" width="21.453125" style="3" bestFit="1" customWidth="1"/>
    <col min="22" max="22" width="9.81640625" style="3" customWidth="1"/>
    <col min="23" max="23" width="9.81640625" style="3" bestFit="1" customWidth="1"/>
    <col min="24" max="24" width="9.81640625" style="3" customWidth="1"/>
    <col min="25" max="25" width="8.7265625" style="3"/>
  </cols>
  <sheetData>
    <row r="1" spans="1:25" s="33" customFormat="1" ht="48" x14ac:dyDescent="0.35">
      <c r="A1" s="33" t="s">
        <v>19</v>
      </c>
      <c r="B1" s="35" t="s">
        <v>20</v>
      </c>
      <c r="C1" s="29" t="s">
        <v>21</v>
      </c>
      <c r="D1" s="29" t="s">
        <v>22</v>
      </c>
      <c r="E1" s="29" t="s">
        <v>23</v>
      </c>
      <c r="F1" s="29" t="s">
        <v>24</v>
      </c>
      <c r="G1" s="54" t="s">
        <v>25</v>
      </c>
      <c r="H1" s="30" t="s">
        <v>26</v>
      </c>
      <c r="I1" s="30" t="s">
        <v>27</v>
      </c>
      <c r="J1" s="30" t="s">
        <v>28</v>
      </c>
      <c r="K1" s="30" t="s">
        <v>29</v>
      </c>
      <c r="L1" s="48" t="s">
        <v>30</v>
      </c>
      <c r="M1" s="31" t="s">
        <v>31</v>
      </c>
      <c r="N1" s="31" t="s">
        <v>32</v>
      </c>
      <c r="O1" s="31" t="s">
        <v>33</v>
      </c>
      <c r="P1" s="31" t="s">
        <v>34</v>
      </c>
      <c r="Q1" s="31" t="s">
        <v>35</v>
      </c>
      <c r="R1" s="31" t="s">
        <v>36</v>
      </c>
      <c r="S1" s="53" t="s">
        <v>37</v>
      </c>
      <c r="T1" s="53" t="s">
        <v>38</v>
      </c>
      <c r="U1" s="29" t="s">
        <v>39</v>
      </c>
      <c r="V1" s="32" t="s">
        <v>40</v>
      </c>
      <c r="W1" s="32" t="s">
        <v>41</v>
      </c>
      <c r="X1" s="32" t="s">
        <v>42</v>
      </c>
      <c r="Y1" s="32" t="s">
        <v>43</v>
      </c>
    </row>
    <row r="2" spans="1:25" s="33" customFormat="1" x14ac:dyDescent="0.35">
      <c r="B2" s="35"/>
      <c r="C2" s="3">
        <v>5</v>
      </c>
      <c r="D2" s="4" t="s">
        <v>44</v>
      </c>
      <c r="E2" s="4" t="s">
        <v>44</v>
      </c>
      <c r="F2" s="3"/>
      <c r="G2" s="54"/>
      <c r="H2" s="30"/>
      <c r="I2" s="30"/>
      <c r="J2" s="30"/>
      <c r="K2" s="30"/>
      <c r="L2" s="48"/>
      <c r="M2" s="31"/>
      <c r="N2" s="31"/>
      <c r="O2" s="31"/>
      <c r="P2" s="31"/>
      <c r="Q2" s="31"/>
      <c r="R2" s="31"/>
      <c r="S2" s="53"/>
      <c r="T2" s="51">
        <f>0.2*POWER(10,-15)</f>
        <v>2.0000000000000002E-16</v>
      </c>
      <c r="U2" s="29" t="s">
        <v>45</v>
      </c>
      <c r="V2" s="32"/>
      <c r="W2" s="32" t="s">
        <v>46</v>
      </c>
      <c r="X2" s="32"/>
      <c r="Y2" s="32"/>
    </row>
    <row r="3" spans="1:25" s="33" customFormat="1" x14ac:dyDescent="0.35">
      <c r="B3" s="35"/>
      <c r="C3" s="3">
        <v>5</v>
      </c>
      <c r="D3" s="4" t="s">
        <v>44</v>
      </c>
      <c r="E3" s="4" t="s">
        <v>44</v>
      </c>
      <c r="F3" s="3" t="s">
        <v>47</v>
      </c>
      <c r="G3" s="54"/>
      <c r="H3" s="30"/>
      <c r="I3" s="30"/>
      <c r="J3" s="30"/>
      <c r="K3" s="30"/>
      <c r="L3" s="48"/>
      <c r="M3" s="31"/>
      <c r="N3" s="31"/>
      <c r="O3" s="31"/>
      <c r="P3" s="31"/>
      <c r="Q3" s="31"/>
      <c r="R3" s="31"/>
      <c r="S3" s="53"/>
      <c r="T3" s="51">
        <f>0.055*POWER(10,-15)</f>
        <v>5.5000000000000006E-17</v>
      </c>
      <c r="U3" s="29" t="s">
        <v>48</v>
      </c>
      <c r="V3" s="32"/>
      <c r="W3" s="32" t="s">
        <v>49</v>
      </c>
      <c r="X3" s="32"/>
      <c r="Y3" s="32"/>
    </row>
    <row r="4" spans="1:25" x14ac:dyDescent="0.35">
      <c r="C4" s="3">
        <v>5</v>
      </c>
      <c r="D4" s="4" t="s">
        <v>44</v>
      </c>
      <c r="E4" s="4" t="s">
        <v>44</v>
      </c>
      <c r="F4" s="3" t="s">
        <v>50</v>
      </c>
      <c r="G4" s="49">
        <f>16/1000</f>
        <v>1.6E-2</v>
      </c>
      <c r="J4" s="6"/>
      <c r="K4" s="4"/>
      <c r="L4" s="51"/>
      <c r="S4" s="51">
        <f t="shared" ref="S4:S11" si="0">G4*POWER(10,-6)</f>
        <v>1.6000000000000001E-8</v>
      </c>
      <c r="U4" s="3" t="s">
        <v>51</v>
      </c>
      <c r="V4" s="3" t="s">
        <v>52</v>
      </c>
    </row>
    <row r="5" spans="1:25" x14ac:dyDescent="0.35">
      <c r="C5" s="3">
        <v>5</v>
      </c>
      <c r="D5" s="4" t="s">
        <v>44</v>
      </c>
      <c r="E5" s="4" t="s">
        <v>44</v>
      </c>
      <c r="F5" s="3" t="s">
        <v>50</v>
      </c>
      <c r="G5" s="49">
        <v>1.7000000000000001E-2</v>
      </c>
      <c r="J5" s="6"/>
      <c r="K5" s="4"/>
      <c r="L5" s="51"/>
      <c r="S5" s="51">
        <f t="shared" si="0"/>
        <v>1.7E-8</v>
      </c>
      <c r="U5" s="3" t="s">
        <v>53</v>
      </c>
      <c r="W5" s="3" t="s">
        <v>54</v>
      </c>
    </row>
    <row r="6" spans="1:25" x14ac:dyDescent="0.35">
      <c r="C6" s="3">
        <v>5</v>
      </c>
      <c r="D6" s="4" t="s">
        <v>44</v>
      </c>
      <c r="E6" s="4" t="s">
        <v>44</v>
      </c>
      <c r="F6" s="3" t="s">
        <v>55</v>
      </c>
      <c r="G6" s="49">
        <f>50/1000</f>
        <v>0.05</v>
      </c>
      <c r="J6" s="6"/>
      <c r="K6" s="6"/>
      <c r="L6" s="50">
        <f>T6*1000000</f>
        <v>2.0000000000000002E-11</v>
      </c>
      <c r="M6" s="4">
        <f>G6/1000</f>
        <v>5.0000000000000002E-5</v>
      </c>
      <c r="R6" s="4"/>
      <c r="S6" s="51">
        <f t="shared" si="0"/>
        <v>4.9999999999999998E-8</v>
      </c>
      <c r="T6" s="51">
        <f>0.02*POWER(10,-15)</f>
        <v>2.0000000000000001E-17</v>
      </c>
      <c r="U6" s="3" t="s">
        <v>56</v>
      </c>
      <c r="W6" s="3" t="s">
        <v>57</v>
      </c>
    </row>
    <row r="7" spans="1:25" x14ac:dyDescent="0.35">
      <c r="C7" s="3">
        <v>5</v>
      </c>
      <c r="D7" s="4" t="s">
        <v>44</v>
      </c>
      <c r="E7" s="4" t="s">
        <v>44</v>
      </c>
      <c r="F7" s="3" t="s">
        <v>58</v>
      </c>
      <c r="G7" s="49">
        <v>0.1</v>
      </c>
      <c r="J7" s="6"/>
      <c r="K7" s="6"/>
      <c r="L7" s="50">
        <f>T7*1000000</f>
        <v>1.0000000000000001E-9</v>
      </c>
      <c r="M7" s="4">
        <f>G7/1000</f>
        <v>1E-4</v>
      </c>
      <c r="R7" s="4"/>
      <c r="S7" s="51">
        <f t="shared" si="0"/>
        <v>9.9999999999999995E-8</v>
      </c>
      <c r="T7" s="51">
        <v>1.0000000000000001E-15</v>
      </c>
      <c r="U7" s="3" t="s">
        <v>59</v>
      </c>
      <c r="W7" s="3" t="s">
        <v>60</v>
      </c>
    </row>
    <row r="8" spans="1:25" x14ac:dyDescent="0.35">
      <c r="C8" s="3">
        <v>5</v>
      </c>
      <c r="D8" s="3" t="s">
        <v>44</v>
      </c>
      <c r="E8" s="3" t="s">
        <v>44</v>
      </c>
      <c r="F8" s="3" t="s">
        <v>61</v>
      </c>
      <c r="G8" s="49">
        <f>180/1000</f>
        <v>0.18</v>
      </c>
      <c r="S8" s="51">
        <f t="shared" si="0"/>
        <v>1.8E-7</v>
      </c>
      <c r="T8" s="52">
        <f>58*POWER(10,6)*1.66054*POWER(10,-24)</f>
        <v>9.6311320000000015E-17</v>
      </c>
      <c r="U8" s="3" t="s">
        <v>62</v>
      </c>
      <c r="W8" s="3" t="s">
        <v>63</v>
      </c>
      <c r="X8" s="3" t="s">
        <v>64</v>
      </c>
    </row>
    <row r="9" spans="1:25" x14ac:dyDescent="0.35">
      <c r="C9" s="3">
        <v>5</v>
      </c>
      <c r="D9" s="3" t="s">
        <v>44</v>
      </c>
      <c r="E9" s="3" t="s">
        <v>44</v>
      </c>
      <c r="F9" s="3" t="s">
        <v>65</v>
      </c>
      <c r="G9" s="49">
        <f>195/1000</f>
        <v>0.19500000000000001</v>
      </c>
      <c r="S9" s="51">
        <f t="shared" si="0"/>
        <v>1.9499999999999999E-7</v>
      </c>
      <c r="T9" s="52">
        <f>325*POWER(10,6)*1.66054*POWER(10,-24)</f>
        <v>5.3967550000000005E-16</v>
      </c>
      <c r="U9" s="3" t="s">
        <v>66</v>
      </c>
      <c r="W9" s="3" t="s">
        <v>67</v>
      </c>
      <c r="X9" s="4" t="s">
        <v>68</v>
      </c>
    </row>
    <row r="10" spans="1:25" x14ac:dyDescent="0.35">
      <c r="C10" s="3">
        <v>5</v>
      </c>
      <c r="D10" s="4" t="s">
        <v>44</v>
      </c>
      <c r="E10" s="4" t="s">
        <v>44</v>
      </c>
      <c r="F10" s="3" t="s">
        <v>69</v>
      </c>
      <c r="G10" s="49">
        <f>300/1000</f>
        <v>0.3</v>
      </c>
      <c r="J10" s="6"/>
      <c r="K10" s="4"/>
      <c r="L10" s="51"/>
      <c r="R10" s="4"/>
      <c r="S10" s="51">
        <f t="shared" si="0"/>
        <v>2.9999999999999999E-7</v>
      </c>
      <c r="U10" s="3" t="s">
        <v>51</v>
      </c>
      <c r="V10" s="3" t="s">
        <v>70</v>
      </c>
    </row>
    <row r="11" spans="1:25" x14ac:dyDescent="0.35">
      <c r="C11" s="3">
        <v>5</v>
      </c>
      <c r="D11" s="3" t="s">
        <v>44</v>
      </c>
      <c r="E11" s="3" t="s">
        <v>44</v>
      </c>
      <c r="F11" s="3" t="s">
        <v>71</v>
      </c>
      <c r="G11" s="49">
        <f>400/1000</f>
        <v>0.4</v>
      </c>
      <c r="S11" s="51">
        <f t="shared" si="0"/>
        <v>3.9999999999999998E-7</v>
      </c>
      <c r="U11" s="3" t="s">
        <v>72</v>
      </c>
    </row>
    <row r="12" spans="1:25" x14ac:dyDescent="0.35">
      <c r="C12" s="3">
        <v>5</v>
      </c>
      <c r="D12" s="4" t="s">
        <v>44</v>
      </c>
      <c r="E12" s="4" t="s">
        <v>44</v>
      </c>
      <c r="F12" s="3" t="s">
        <v>73</v>
      </c>
      <c r="J12" s="6">
        <f>Q12*1000000</f>
        <v>1.0000000000000001E-9</v>
      </c>
      <c r="K12" s="6"/>
      <c r="Q12" s="4">
        <v>1.0000000000000001E-15</v>
      </c>
      <c r="R12" s="4"/>
      <c r="U12" s="3" t="s">
        <v>74</v>
      </c>
      <c r="W12" s="3" t="s">
        <v>75</v>
      </c>
    </row>
    <row r="13" spans="1:25" x14ac:dyDescent="0.35">
      <c r="C13" s="3">
        <v>5</v>
      </c>
      <c r="D13" s="4" t="s">
        <v>44</v>
      </c>
      <c r="E13" s="4" t="s">
        <v>44</v>
      </c>
      <c r="F13" s="3" t="s">
        <v>76</v>
      </c>
      <c r="G13" s="49">
        <f>82/1000</f>
        <v>8.2000000000000003E-2</v>
      </c>
      <c r="J13" s="6"/>
      <c r="K13" s="4"/>
      <c r="L13" s="51"/>
      <c r="R13" s="3">
        <f>99*POWER(10,6)/1.6605*POWER(10,-24)</f>
        <v>5.9620596205962061E-17</v>
      </c>
      <c r="S13" s="51">
        <f>G13*POWER(10,-6)</f>
        <v>8.1999999999999993E-8</v>
      </c>
      <c r="U13" s="3" t="s">
        <v>77</v>
      </c>
      <c r="V13" s="3" t="s">
        <v>78</v>
      </c>
      <c r="W13" s="3" t="s">
        <v>79</v>
      </c>
    </row>
    <row r="14" spans="1:25" x14ac:dyDescent="0.35">
      <c r="C14" s="3">
        <v>4</v>
      </c>
      <c r="D14" s="3" t="s">
        <v>80</v>
      </c>
      <c r="E14" s="4" t="s">
        <v>81</v>
      </c>
      <c r="F14" s="3" t="s">
        <v>82</v>
      </c>
      <c r="G14" s="50">
        <f>M14*1000</f>
        <v>0.12000000000000001</v>
      </c>
      <c r="H14" s="6"/>
      <c r="M14" s="4">
        <f>0.000012*10</f>
        <v>1.2E-4</v>
      </c>
      <c r="R14" s="4"/>
      <c r="S14" s="51">
        <f>G14*POWER(10,-6)</f>
        <v>1.2000000000000002E-7</v>
      </c>
      <c r="U14" s="3" t="s">
        <v>83</v>
      </c>
      <c r="W14" s="3" t="s">
        <v>84</v>
      </c>
    </row>
    <row r="15" spans="1:25" x14ac:dyDescent="0.35">
      <c r="A15" s="1"/>
      <c r="B15" s="37"/>
      <c r="C15" s="3">
        <v>4</v>
      </c>
      <c r="D15" s="3" t="s">
        <v>80</v>
      </c>
      <c r="E15" s="3" t="s">
        <v>80</v>
      </c>
      <c r="G15" s="52"/>
      <c r="H15" s="3"/>
      <c r="I15" s="3"/>
      <c r="J15" s="3"/>
      <c r="K15" s="3"/>
      <c r="L15" s="52"/>
      <c r="M15" s="3"/>
      <c r="N15" s="3"/>
      <c r="O15" s="3"/>
      <c r="P15" s="3"/>
      <c r="S15" s="51">
        <f>0.15/1000/1000</f>
        <v>1.4999999999999999E-7</v>
      </c>
      <c r="U15" s="3" t="s">
        <v>85</v>
      </c>
      <c r="V15" s="3" t="s">
        <v>86</v>
      </c>
    </row>
    <row r="16" spans="1:25" s="1" customFormat="1" x14ac:dyDescent="0.35">
      <c r="B16" s="37"/>
      <c r="C16" s="3">
        <v>4</v>
      </c>
      <c r="D16" s="3" t="s">
        <v>80</v>
      </c>
      <c r="E16" s="3" t="s">
        <v>87</v>
      </c>
      <c r="F16" s="3" t="s">
        <v>88</v>
      </c>
      <c r="G16" s="50" t="s">
        <v>89</v>
      </c>
      <c r="H16" s="6">
        <v>0.2</v>
      </c>
      <c r="I16" s="7"/>
      <c r="J16" s="7"/>
      <c r="K16" s="7"/>
      <c r="L16" s="50" t="s">
        <v>90</v>
      </c>
      <c r="M16" s="4">
        <f>0.2/1000</f>
        <v>2.0000000000000001E-4</v>
      </c>
      <c r="N16" s="4"/>
      <c r="O16" s="4"/>
      <c r="P16" s="4"/>
      <c r="Q16" s="4"/>
      <c r="R16" s="3"/>
      <c r="S16" s="51" t="s">
        <v>90</v>
      </c>
      <c r="T16" s="51">
        <f>20*0.000000000000001</f>
        <v>2.0000000000000003E-14</v>
      </c>
      <c r="U16" s="3" t="s">
        <v>91</v>
      </c>
      <c r="V16" s="3"/>
      <c r="W16" s="3" t="s">
        <v>92</v>
      </c>
      <c r="X16" s="3"/>
      <c r="Y16" s="3"/>
    </row>
    <row r="17" spans="1:25" x14ac:dyDescent="0.35">
      <c r="C17" s="3">
        <v>4</v>
      </c>
      <c r="D17" s="3" t="s">
        <v>80</v>
      </c>
      <c r="E17" s="3" t="s">
        <v>80</v>
      </c>
      <c r="F17" s="3" t="s">
        <v>93</v>
      </c>
      <c r="J17" s="6"/>
      <c r="K17" s="4"/>
      <c r="L17" s="51"/>
      <c r="S17" s="4">
        <f>0.2*POWER(10,-6)</f>
        <v>1.9999999999999999E-7</v>
      </c>
      <c r="U17" s="3" t="s">
        <v>94</v>
      </c>
      <c r="V17" s="3" t="s">
        <v>95</v>
      </c>
    </row>
    <row r="18" spans="1:25" x14ac:dyDescent="0.35">
      <c r="C18" s="3">
        <v>4</v>
      </c>
      <c r="D18" s="3" t="s">
        <v>80</v>
      </c>
      <c r="E18" s="3" t="s">
        <v>96</v>
      </c>
      <c r="F18" s="3" t="s">
        <v>97</v>
      </c>
      <c r="G18" s="50">
        <f>M18*1000</f>
        <v>0.5</v>
      </c>
      <c r="H18" s="6"/>
      <c r="M18" s="4">
        <f>0.00005*10</f>
        <v>5.0000000000000001E-4</v>
      </c>
      <c r="R18" s="4"/>
      <c r="S18" s="51">
        <f>G18*POWER(10,-6)</f>
        <v>4.9999999999999998E-7</v>
      </c>
      <c r="U18" s="3" t="s">
        <v>56</v>
      </c>
      <c r="W18" s="3" t="s">
        <v>84</v>
      </c>
    </row>
    <row r="19" spans="1:25" x14ac:dyDescent="0.35">
      <c r="C19" s="3">
        <v>4</v>
      </c>
      <c r="D19" s="3" t="s">
        <v>80</v>
      </c>
      <c r="E19" s="3" t="s">
        <v>96</v>
      </c>
      <c r="F19" s="3" t="s">
        <v>98</v>
      </c>
      <c r="G19" s="50">
        <f>M19*1000</f>
        <v>25</v>
      </c>
      <c r="H19" s="6"/>
      <c r="J19" s="6"/>
      <c r="K19" s="6"/>
      <c r="M19" s="4">
        <f>0.0025*10</f>
        <v>2.5000000000000001E-2</v>
      </c>
      <c r="R19" s="4"/>
      <c r="S19" s="51">
        <f>G19*POWER(10,-6)</f>
        <v>2.4999999999999998E-5</v>
      </c>
      <c r="U19" s="3" t="s">
        <v>56</v>
      </c>
      <c r="W19" s="3" t="s">
        <v>84</v>
      </c>
    </row>
    <row r="20" spans="1:25" s="1" customFormat="1" x14ac:dyDescent="0.35">
      <c r="A20"/>
      <c r="B20" s="36"/>
      <c r="C20" s="3">
        <v>4</v>
      </c>
      <c r="D20" s="3" t="s">
        <v>80</v>
      </c>
      <c r="E20" s="3" t="s">
        <v>80</v>
      </c>
      <c r="F20" s="5" t="s">
        <v>99</v>
      </c>
      <c r="G20" s="49">
        <v>95</v>
      </c>
      <c r="H20" s="96">
        <v>80000</v>
      </c>
      <c r="I20" s="6">
        <f>H20/1000000</f>
        <v>0.08</v>
      </c>
      <c r="J20" s="6"/>
      <c r="K20" s="4"/>
      <c r="L20" s="51"/>
      <c r="M20" s="4"/>
      <c r="N20" s="4">
        <f>I20/1000</f>
        <v>8.0000000000000007E-5</v>
      </c>
      <c r="O20" s="4"/>
      <c r="P20" s="4"/>
      <c r="Q20" s="4"/>
      <c r="R20" s="3"/>
      <c r="S20" s="4">
        <f>95*POWER(10,-6)</f>
        <v>9.4999999999999992E-5</v>
      </c>
      <c r="T20" s="51"/>
      <c r="U20" s="3" t="s">
        <v>94</v>
      </c>
      <c r="V20" s="3" t="s">
        <v>100</v>
      </c>
      <c r="W20" s="3" t="s">
        <v>101</v>
      </c>
      <c r="X20" s="3"/>
      <c r="Y20" s="3"/>
    </row>
    <row r="21" spans="1:25" s="1" customFormat="1" x14ac:dyDescent="0.35">
      <c r="B21" s="37"/>
      <c r="C21" s="3">
        <v>4</v>
      </c>
      <c r="D21" s="3" t="s">
        <v>80</v>
      </c>
      <c r="E21" s="4" t="s">
        <v>81</v>
      </c>
      <c r="F21" s="3" t="s">
        <v>102</v>
      </c>
      <c r="G21" s="49"/>
      <c r="H21" s="7"/>
      <c r="I21" s="7"/>
      <c r="J21" s="6"/>
      <c r="K21" s="6"/>
      <c r="L21" s="50">
        <f>T21*1000000</f>
        <v>1.5000000000000002E-7</v>
      </c>
      <c r="M21" s="4"/>
      <c r="N21" s="4"/>
      <c r="O21" s="4"/>
      <c r="P21" s="4"/>
      <c r="Q21" s="4"/>
      <c r="R21" s="4"/>
      <c r="S21" s="51"/>
      <c r="T21" s="51">
        <f>150*POWER(10,-15)</f>
        <v>1.5000000000000002E-13</v>
      </c>
      <c r="U21" s="3" t="s">
        <v>56</v>
      </c>
      <c r="V21" s="3"/>
      <c r="W21" s="3" t="s">
        <v>103</v>
      </c>
      <c r="X21" s="3"/>
      <c r="Y21" s="3"/>
    </row>
    <row r="22" spans="1:25" s="1" customFormat="1" x14ac:dyDescent="0.35">
      <c r="B22" s="37"/>
      <c r="C22" s="3">
        <v>4</v>
      </c>
      <c r="D22" s="3" t="s">
        <v>80</v>
      </c>
      <c r="E22" s="4" t="s">
        <v>81</v>
      </c>
      <c r="F22" s="3" t="s">
        <v>104</v>
      </c>
      <c r="G22" s="49"/>
      <c r="H22" s="7">
        <v>6</v>
      </c>
      <c r="I22" s="6">
        <f>H22/1000000</f>
        <v>6.0000000000000002E-6</v>
      </c>
      <c r="J22" s="6"/>
      <c r="K22" s="6"/>
      <c r="L22" s="50"/>
      <c r="M22" s="4"/>
      <c r="N22" s="4">
        <f>I22/1000</f>
        <v>6E-9</v>
      </c>
      <c r="O22" s="4"/>
      <c r="P22" s="4">
        <f>4*POWER(10,-15)</f>
        <v>4.0000000000000003E-15</v>
      </c>
      <c r="Q22" s="4"/>
      <c r="R22" s="4"/>
      <c r="S22" s="51"/>
      <c r="T22" s="51">
        <f>7*POWER(10,-15)</f>
        <v>7.0000000000000001E-15</v>
      </c>
      <c r="U22" s="3" t="s">
        <v>105</v>
      </c>
      <c r="V22" s="3"/>
      <c r="W22" s="3" t="s">
        <v>106</v>
      </c>
      <c r="X22" s="3"/>
      <c r="Y22" s="3"/>
    </row>
    <row r="23" spans="1:25" s="1" customFormat="1" x14ac:dyDescent="0.35">
      <c r="B23" s="37"/>
      <c r="C23" s="3">
        <v>4</v>
      </c>
      <c r="D23" s="3" t="s">
        <v>80</v>
      </c>
      <c r="E23" s="4" t="s">
        <v>81</v>
      </c>
      <c r="F23" s="3" t="s">
        <v>104</v>
      </c>
      <c r="G23" s="49"/>
      <c r="H23" s="7">
        <v>15.8</v>
      </c>
      <c r="I23" s="6">
        <f>H23/1000000</f>
        <v>1.5800000000000001E-5</v>
      </c>
      <c r="J23" s="6"/>
      <c r="K23" s="6"/>
      <c r="L23" s="50"/>
      <c r="M23" s="4"/>
      <c r="N23" s="4">
        <f>I23/1000</f>
        <v>1.5800000000000003E-8</v>
      </c>
      <c r="O23" s="4"/>
      <c r="P23" s="4">
        <f>1.9*POWER(10,-12)</f>
        <v>1.9E-12</v>
      </c>
      <c r="Q23" s="4"/>
      <c r="R23" s="4"/>
      <c r="S23" s="51"/>
      <c r="T23" s="51">
        <f>530*POWER(10,-15)</f>
        <v>5.3000000000000006E-13</v>
      </c>
      <c r="U23" s="3" t="s">
        <v>105</v>
      </c>
      <c r="V23" s="3"/>
      <c r="W23" s="3" t="s">
        <v>106</v>
      </c>
      <c r="X23" s="3"/>
      <c r="Y23" s="3"/>
    </row>
    <row r="24" spans="1:25" s="1" customFormat="1" x14ac:dyDescent="0.35">
      <c r="B24" s="37"/>
      <c r="C24" s="3">
        <v>4</v>
      </c>
      <c r="D24" s="3" t="s">
        <v>80</v>
      </c>
      <c r="E24" s="4" t="s">
        <v>81</v>
      </c>
      <c r="F24" s="3" t="s">
        <v>102</v>
      </c>
      <c r="G24" s="49"/>
      <c r="H24" s="7"/>
      <c r="I24" s="7"/>
      <c r="J24" s="6">
        <f>Q24*1000000</f>
        <v>6.65E-9</v>
      </c>
      <c r="K24" s="6"/>
      <c r="L24" s="49"/>
      <c r="M24" s="4"/>
      <c r="N24" s="4"/>
      <c r="O24" s="4"/>
      <c r="P24" s="4"/>
      <c r="Q24" s="4">
        <v>6.6500000000000004E-15</v>
      </c>
      <c r="R24" s="4"/>
      <c r="S24" s="51"/>
      <c r="T24" s="51"/>
      <c r="U24" s="3" t="s">
        <v>107</v>
      </c>
      <c r="V24" s="3"/>
      <c r="W24" s="3"/>
      <c r="X24" s="3"/>
      <c r="Y24" s="3"/>
    </row>
    <row r="25" spans="1:25" s="1" customFormat="1" x14ac:dyDescent="0.35">
      <c r="B25" s="37"/>
      <c r="C25" s="3">
        <v>4</v>
      </c>
      <c r="D25" s="3" t="s">
        <v>80</v>
      </c>
      <c r="E25" s="4" t="s">
        <v>81</v>
      </c>
      <c r="F25" s="3" t="s">
        <v>108</v>
      </c>
      <c r="G25" s="49"/>
      <c r="H25" s="7"/>
      <c r="I25" s="7"/>
      <c r="J25" s="7"/>
      <c r="K25" s="6">
        <f>V25/POWER(10,9)</f>
        <v>3E-9</v>
      </c>
      <c r="L25" s="50">
        <f>K25/2</f>
        <v>1.5E-9</v>
      </c>
      <c r="M25" s="4"/>
      <c r="N25" s="4"/>
      <c r="O25" s="4"/>
      <c r="P25" s="4"/>
      <c r="Q25" s="4"/>
      <c r="R25" s="4">
        <f>K25/POWER(10,6)</f>
        <v>2.9999999999999998E-15</v>
      </c>
      <c r="S25" s="51"/>
      <c r="T25" s="51">
        <f>R25/2</f>
        <v>1.4999999999999999E-15</v>
      </c>
      <c r="U25" s="3" t="s">
        <v>109</v>
      </c>
      <c r="V25" s="3">
        <v>3</v>
      </c>
      <c r="W25" s="3" t="s">
        <v>110</v>
      </c>
      <c r="X25" s="3"/>
      <c r="Y25" s="3"/>
    </row>
    <row r="26" spans="1:25" s="1" customFormat="1" x14ac:dyDescent="0.35">
      <c r="B26" s="37"/>
      <c r="C26" s="3">
        <v>4</v>
      </c>
      <c r="D26" s="3" t="s">
        <v>80</v>
      </c>
      <c r="E26" s="4" t="s">
        <v>81</v>
      </c>
      <c r="F26" s="3" t="s">
        <v>111</v>
      </c>
      <c r="G26" s="49"/>
      <c r="H26" s="7"/>
      <c r="I26" s="7"/>
      <c r="J26" s="7"/>
      <c r="K26" s="6">
        <f>V26/POWER(10,9)</f>
        <v>1.7770000000000001E-6</v>
      </c>
      <c r="L26" s="50">
        <f>K26/2</f>
        <v>8.8850000000000005E-7</v>
      </c>
      <c r="M26" s="4"/>
      <c r="N26" s="4"/>
      <c r="O26" s="4"/>
      <c r="P26" s="4"/>
      <c r="Q26" s="4"/>
      <c r="R26" s="4">
        <f>K26/POWER(10,6)</f>
        <v>1.777E-12</v>
      </c>
      <c r="S26" s="51"/>
      <c r="T26" s="51">
        <f>R26/2</f>
        <v>8.885E-13</v>
      </c>
      <c r="U26" s="3" t="s">
        <v>109</v>
      </c>
      <c r="V26" s="3">
        <v>1777</v>
      </c>
      <c r="W26" s="3" t="s">
        <v>112</v>
      </c>
      <c r="X26" s="3"/>
      <c r="Y26" s="3"/>
    </row>
    <row r="27" spans="1:25" s="1" customFormat="1" x14ac:dyDescent="0.35">
      <c r="B27" s="37"/>
      <c r="C27" s="3">
        <v>4</v>
      </c>
      <c r="D27" s="3" t="s">
        <v>80</v>
      </c>
      <c r="E27" s="3" t="s">
        <v>81</v>
      </c>
      <c r="F27" s="3" t="s">
        <v>113</v>
      </c>
      <c r="G27" s="50"/>
      <c r="H27" s="6">
        <v>0.09</v>
      </c>
      <c r="I27" s="6">
        <f>H27/1000000</f>
        <v>8.9999999999999999E-8</v>
      </c>
      <c r="J27" s="7"/>
      <c r="K27" s="7"/>
      <c r="L27" s="50"/>
      <c r="M27" s="4"/>
      <c r="N27" s="4"/>
      <c r="O27" s="4"/>
      <c r="P27" s="4"/>
      <c r="Q27" s="4"/>
      <c r="R27" s="3"/>
      <c r="S27" s="51"/>
      <c r="T27" s="51"/>
      <c r="U27" s="3" t="s">
        <v>114</v>
      </c>
      <c r="V27" s="3"/>
      <c r="W27" s="3"/>
      <c r="X27" s="3"/>
      <c r="Y27" s="3"/>
    </row>
    <row r="28" spans="1:25" s="1" customFormat="1" x14ac:dyDescent="0.35">
      <c r="B28" s="37"/>
      <c r="C28" s="3">
        <v>4</v>
      </c>
      <c r="D28" s="3" t="s">
        <v>80</v>
      </c>
      <c r="E28" s="3" t="s">
        <v>87</v>
      </c>
      <c r="F28" s="3" t="s">
        <v>115</v>
      </c>
      <c r="G28" s="49"/>
      <c r="H28" s="7"/>
      <c r="I28" s="7"/>
      <c r="J28" s="6"/>
      <c r="K28" s="6"/>
      <c r="L28" s="50">
        <f>T28*1000000</f>
        <v>1.1000000000000001E-8</v>
      </c>
      <c r="M28" s="4"/>
      <c r="N28" s="4"/>
      <c r="O28" s="4"/>
      <c r="P28" s="4"/>
      <c r="Q28" s="4"/>
      <c r="R28" s="4"/>
      <c r="S28" s="51"/>
      <c r="T28" s="51">
        <f>11*POWER(10,-15)</f>
        <v>1.1E-14</v>
      </c>
      <c r="U28" s="3" t="s">
        <v>56</v>
      </c>
      <c r="V28" s="3"/>
      <c r="W28" s="3" t="s">
        <v>116</v>
      </c>
      <c r="X28" s="3"/>
      <c r="Y28" s="3"/>
    </row>
    <row r="29" spans="1:25" s="1" customFormat="1" x14ac:dyDescent="0.35">
      <c r="B29" s="37"/>
      <c r="C29" s="3"/>
      <c r="D29" s="3" t="s">
        <v>80</v>
      </c>
      <c r="E29" s="3" t="s">
        <v>87</v>
      </c>
      <c r="F29" s="3"/>
      <c r="G29" s="49"/>
      <c r="H29" s="7">
        <v>2.5999999999999999E-2</v>
      </c>
      <c r="I29" s="7"/>
      <c r="J29" s="6"/>
      <c r="K29" s="6">
        <f>19.7/POWER(10,9)</f>
        <v>1.9699999999999998E-8</v>
      </c>
      <c r="L29" s="6">
        <f>10.4/POWER(10,9)</f>
        <v>1.04E-8</v>
      </c>
      <c r="M29" s="4"/>
      <c r="N29" s="4"/>
      <c r="O29" s="4"/>
      <c r="P29" s="4"/>
      <c r="Q29" s="4"/>
      <c r="R29" s="4">
        <f>K29/POWER(10,6)</f>
        <v>1.9699999999999997E-14</v>
      </c>
      <c r="S29" s="51"/>
      <c r="T29" s="4">
        <f>L29/POWER(10,6)</f>
        <v>1.04E-14</v>
      </c>
      <c r="U29" s="3" t="s">
        <v>117</v>
      </c>
      <c r="V29" s="3">
        <v>9.9</v>
      </c>
      <c r="W29" s="3" t="s">
        <v>118</v>
      </c>
      <c r="X29" s="3"/>
      <c r="Y29" s="3"/>
    </row>
    <row r="30" spans="1:25" s="1" customFormat="1" x14ac:dyDescent="0.35">
      <c r="B30" s="37"/>
      <c r="C30" s="3"/>
      <c r="D30" s="3" t="s">
        <v>80</v>
      </c>
      <c r="E30" s="3" t="s">
        <v>87</v>
      </c>
      <c r="F30" s="3"/>
      <c r="G30" s="49"/>
      <c r="H30" s="7">
        <v>0.4</v>
      </c>
      <c r="I30" s="7"/>
      <c r="J30" s="6"/>
      <c r="K30" s="6">
        <f>95.8/POWER(10,9)</f>
        <v>9.5799999999999998E-8</v>
      </c>
      <c r="L30" s="6">
        <f>53.3/POWER(10,9)</f>
        <v>5.3299999999999994E-8</v>
      </c>
      <c r="M30" s="4"/>
      <c r="N30" s="4"/>
      <c r="O30" s="4"/>
      <c r="P30" s="4"/>
      <c r="Q30" s="4"/>
      <c r="R30" s="4">
        <f>K30/POWER(10,6)</f>
        <v>9.5799999999999993E-14</v>
      </c>
      <c r="S30" s="51"/>
      <c r="T30" s="4">
        <f>L30/POWER(10,6)</f>
        <v>5.3299999999999991E-14</v>
      </c>
      <c r="U30" s="3" t="s">
        <v>117</v>
      </c>
      <c r="V30" s="3"/>
      <c r="W30" s="3"/>
      <c r="X30" s="3"/>
      <c r="Y30" s="3"/>
    </row>
    <row r="31" spans="1:25" s="1" customFormat="1" x14ac:dyDescent="0.35">
      <c r="B31" s="37"/>
      <c r="C31" s="3">
        <v>4</v>
      </c>
      <c r="D31" s="3" t="s">
        <v>80</v>
      </c>
      <c r="E31" s="3" t="s">
        <v>87</v>
      </c>
      <c r="F31" s="3" t="s">
        <v>119</v>
      </c>
      <c r="G31" s="49"/>
      <c r="H31" s="7"/>
      <c r="I31" s="7"/>
      <c r="J31" s="7"/>
      <c r="K31" s="7"/>
      <c r="L31" s="50">
        <f>T31*1000000</f>
        <v>2.0000000000000004E-8</v>
      </c>
      <c r="M31" s="4"/>
      <c r="N31" s="4"/>
      <c r="O31" s="4"/>
      <c r="P31" s="4"/>
      <c r="Q31" s="4"/>
      <c r="R31" s="3"/>
      <c r="S31" s="51"/>
      <c r="T31" s="51">
        <f>20*0.000000000000001</f>
        <v>2.0000000000000003E-14</v>
      </c>
      <c r="U31" s="3" t="s">
        <v>120</v>
      </c>
      <c r="V31" s="3"/>
      <c r="W31" s="3"/>
      <c r="X31" s="3"/>
      <c r="Y31" s="3"/>
    </row>
    <row r="32" spans="1:25" s="1" customFormat="1" x14ac:dyDescent="0.35">
      <c r="B32" s="37"/>
      <c r="C32" s="3">
        <v>4</v>
      </c>
      <c r="D32" s="3" t="s">
        <v>80</v>
      </c>
      <c r="E32" s="3" t="s">
        <v>87</v>
      </c>
      <c r="F32" s="3" t="s">
        <v>121</v>
      </c>
      <c r="G32" s="50"/>
      <c r="H32" s="6">
        <v>7.1999999999999995E-2</v>
      </c>
      <c r="I32" s="6">
        <f>H32/1000000</f>
        <v>7.1999999999999996E-8</v>
      </c>
      <c r="J32" s="7"/>
      <c r="K32" s="7"/>
      <c r="L32" s="50"/>
      <c r="M32" s="4"/>
      <c r="N32" s="4">
        <f>I32/1000</f>
        <v>7.1999999999999997E-11</v>
      </c>
      <c r="O32" s="4"/>
      <c r="P32" s="4"/>
      <c r="Q32" s="4"/>
      <c r="R32" s="3"/>
      <c r="S32" s="51"/>
      <c r="T32" s="51"/>
      <c r="U32" s="3" t="s">
        <v>114</v>
      </c>
      <c r="V32" s="3"/>
      <c r="W32" s="3" t="s">
        <v>122</v>
      </c>
      <c r="X32" s="3"/>
      <c r="Y32" s="3"/>
    </row>
    <row r="33" spans="2:25" s="1" customFormat="1" x14ac:dyDescent="0.35">
      <c r="B33" s="37"/>
      <c r="C33" s="3">
        <v>4</v>
      </c>
      <c r="D33" s="3" t="s">
        <v>80</v>
      </c>
      <c r="E33" s="3" t="s">
        <v>87</v>
      </c>
      <c r="F33" s="3" t="s">
        <v>123</v>
      </c>
      <c r="G33" s="49"/>
      <c r="H33" s="7"/>
      <c r="I33" s="7"/>
      <c r="J33" s="7"/>
      <c r="K33" s="7"/>
      <c r="L33" s="50">
        <f>T33*1000000</f>
        <v>5.0000000000000009E-9</v>
      </c>
      <c r="M33" s="4"/>
      <c r="N33" s="4"/>
      <c r="O33" s="4"/>
      <c r="P33" s="4"/>
      <c r="Q33" s="4"/>
      <c r="R33" s="3"/>
      <c r="S33" s="51"/>
      <c r="T33" s="51">
        <f>5*0.000000000000001</f>
        <v>5.0000000000000008E-15</v>
      </c>
      <c r="U33" s="3" t="s">
        <v>124</v>
      </c>
      <c r="V33" s="3"/>
      <c r="W33" s="3"/>
      <c r="X33" s="3"/>
      <c r="Y33" s="3"/>
    </row>
    <row r="34" spans="2:25" s="1" customFormat="1" x14ac:dyDescent="0.35">
      <c r="B34" s="37"/>
      <c r="C34" s="3">
        <v>4</v>
      </c>
      <c r="D34" s="3" t="s">
        <v>80</v>
      </c>
      <c r="E34" s="3" t="s">
        <v>87</v>
      </c>
      <c r="F34" s="3" t="s">
        <v>125</v>
      </c>
      <c r="G34" s="49"/>
      <c r="H34" s="7"/>
      <c r="I34" s="7"/>
      <c r="J34" s="7"/>
      <c r="K34" s="7"/>
      <c r="L34" s="50">
        <f>T34*1000000</f>
        <v>2.0000000000000004E-8</v>
      </c>
      <c r="M34" s="4"/>
      <c r="N34" s="4"/>
      <c r="O34" s="4"/>
      <c r="P34" s="4"/>
      <c r="Q34" s="4"/>
      <c r="R34" s="3"/>
      <c r="S34" s="51"/>
      <c r="T34" s="51">
        <f>20*0.000000000000001</f>
        <v>2.0000000000000003E-14</v>
      </c>
      <c r="U34" s="3" t="s">
        <v>124</v>
      </c>
      <c r="V34" s="3"/>
      <c r="W34" s="3"/>
      <c r="X34" s="3"/>
      <c r="Y34" s="3"/>
    </row>
    <row r="35" spans="2:25" s="1" customFormat="1" x14ac:dyDescent="0.35">
      <c r="B35" s="37"/>
      <c r="C35" s="3">
        <v>4</v>
      </c>
      <c r="D35" s="3" t="s">
        <v>80</v>
      </c>
      <c r="E35" s="3" t="s">
        <v>87</v>
      </c>
      <c r="F35" s="3" t="s">
        <v>126</v>
      </c>
      <c r="G35" s="49"/>
      <c r="H35" s="7"/>
      <c r="I35" s="7"/>
      <c r="J35" s="7"/>
      <c r="K35" s="7"/>
      <c r="L35" s="50">
        <f>T35*1000000</f>
        <v>1.0000000000000002E-8</v>
      </c>
      <c r="M35" s="4"/>
      <c r="N35" s="4"/>
      <c r="O35" s="4"/>
      <c r="P35" s="4"/>
      <c r="Q35" s="4"/>
      <c r="R35" s="3"/>
      <c r="S35" s="51"/>
      <c r="T35" s="51">
        <f>10*0.000000000000001</f>
        <v>1.0000000000000002E-14</v>
      </c>
      <c r="U35" s="3" t="s">
        <v>124</v>
      </c>
      <c r="V35" s="3"/>
      <c r="W35" s="3"/>
      <c r="X35" s="3"/>
      <c r="Y35" s="3"/>
    </row>
    <row r="36" spans="2:25" s="1" customFormat="1" x14ac:dyDescent="0.35">
      <c r="B36" s="37"/>
      <c r="C36" s="3">
        <v>4</v>
      </c>
      <c r="D36" s="3" t="s">
        <v>80</v>
      </c>
      <c r="E36" s="3" t="s">
        <v>87</v>
      </c>
      <c r="F36" s="3" t="s">
        <v>127</v>
      </c>
      <c r="G36" s="49"/>
      <c r="H36" s="7"/>
      <c r="I36" s="7"/>
      <c r="J36" s="7"/>
      <c r="K36" s="7"/>
      <c r="L36" s="50">
        <f>T36*1000000</f>
        <v>2.0000000000000004E-8</v>
      </c>
      <c r="M36" s="4"/>
      <c r="N36" s="4"/>
      <c r="O36" s="4"/>
      <c r="P36" s="4"/>
      <c r="Q36" s="4"/>
      <c r="R36" s="3"/>
      <c r="S36" s="51"/>
      <c r="T36" s="51">
        <f>20*0.000000000000001</f>
        <v>2.0000000000000003E-14</v>
      </c>
      <c r="U36" s="3" t="s">
        <v>124</v>
      </c>
      <c r="V36" s="3"/>
      <c r="W36" s="3"/>
      <c r="X36" s="3"/>
      <c r="Y36" s="3"/>
    </row>
    <row r="37" spans="2:25" s="1" customFormat="1" x14ac:dyDescent="0.35">
      <c r="B37" s="37"/>
      <c r="C37" s="3">
        <v>4</v>
      </c>
      <c r="D37" s="3" t="s">
        <v>80</v>
      </c>
      <c r="E37" s="3" t="s">
        <v>80</v>
      </c>
      <c r="F37" s="3" t="s">
        <v>93</v>
      </c>
      <c r="G37" s="49"/>
      <c r="H37" s="7"/>
      <c r="I37" s="7"/>
      <c r="J37" s="6"/>
      <c r="K37" s="6"/>
      <c r="L37" s="49"/>
      <c r="M37" s="4"/>
      <c r="N37" s="4"/>
      <c r="O37" s="4"/>
      <c r="P37" s="4"/>
      <c r="Q37" s="4">
        <v>1.0000000000000001E-15</v>
      </c>
      <c r="R37" s="4"/>
      <c r="S37" s="51"/>
      <c r="T37" s="51"/>
      <c r="U37" s="3" t="s">
        <v>128</v>
      </c>
      <c r="V37" s="3"/>
      <c r="W37" s="3"/>
      <c r="X37" s="3"/>
      <c r="Y37" s="3"/>
    </row>
    <row r="38" spans="2:25" s="1" customFormat="1" x14ac:dyDescent="0.35">
      <c r="B38" s="37"/>
      <c r="C38" s="3">
        <v>4</v>
      </c>
      <c r="D38" s="3" t="s">
        <v>80</v>
      </c>
      <c r="E38" s="3" t="s">
        <v>80</v>
      </c>
      <c r="F38" s="3" t="s">
        <v>93</v>
      </c>
      <c r="G38" s="52"/>
      <c r="H38" s="3"/>
      <c r="I38" s="3"/>
      <c r="J38" s="3"/>
      <c r="K38" s="3"/>
      <c r="L38" s="52"/>
      <c r="M38" s="3"/>
      <c r="N38" s="3"/>
      <c r="O38" s="3">
        <v>1E-14</v>
      </c>
      <c r="P38" s="3"/>
      <c r="Q38" s="4"/>
      <c r="R38" s="3"/>
      <c r="S38" s="51"/>
      <c r="T38" s="51"/>
      <c r="U38" s="3" t="s">
        <v>85</v>
      </c>
      <c r="V38" s="3" t="s">
        <v>129</v>
      </c>
      <c r="W38" s="3" t="s">
        <v>130</v>
      </c>
      <c r="X38" s="3"/>
      <c r="Y38" s="3"/>
    </row>
    <row r="39" spans="2:25" s="1" customFormat="1" x14ac:dyDescent="0.35">
      <c r="B39" s="37"/>
      <c r="C39" s="3">
        <v>4</v>
      </c>
      <c r="D39" s="3" t="s">
        <v>80</v>
      </c>
      <c r="E39" s="3" t="s">
        <v>80</v>
      </c>
      <c r="F39" s="3" t="s">
        <v>131</v>
      </c>
      <c r="G39" s="52"/>
      <c r="H39" s="3"/>
      <c r="I39" s="3"/>
      <c r="J39" s="3"/>
      <c r="K39" s="3"/>
      <c r="L39" s="52"/>
      <c r="M39" s="3"/>
      <c r="N39" s="3"/>
      <c r="O39" s="3">
        <v>9.9999999999999994E-12</v>
      </c>
      <c r="P39" s="3"/>
      <c r="Q39" s="4"/>
      <c r="R39" s="3"/>
      <c r="S39" s="51"/>
      <c r="T39" s="51"/>
      <c r="U39" s="3" t="s">
        <v>85</v>
      </c>
      <c r="V39" s="3"/>
      <c r="W39" s="3" t="s">
        <v>132</v>
      </c>
      <c r="X39" s="3"/>
      <c r="Y39" s="3"/>
    </row>
    <row r="40" spans="2:25" s="1" customFormat="1" x14ac:dyDescent="0.35">
      <c r="B40" s="37"/>
      <c r="C40" s="3">
        <v>4</v>
      </c>
      <c r="D40" s="3" t="s">
        <v>80</v>
      </c>
      <c r="E40" s="3" t="s">
        <v>80</v>
      </c>
      <c r="F40" s="3"/>
      <c r="G40" s="52"/>
      <c r="H40" s="3">
        <v>7.1999999999999995E-2</v>
      </c>
      <c r="I40" s="3"/>
      <c r="J40" s="3"/>
      <c r="K40" s="3"/>
      <c r="L40" s="52"/>
      <c r="M40" s="3"/>
      <c r="N40" s="3"/>
      <c r="O40" s="3"/>
      <c r="P40" s="3"/>
      <c r="Q40" s="4"/>
      <c r="R40" s="3"/>
      <c r="S40" s="51"/>
      <c r="T40" s="51"/>
      <c r="U40" s="3" t="s">
        <v>114</v>
      </c>
      <c r="V40" s="3"/>
      <c r="W40" s="3"/>
      <c r="X40" s="3"/>
      <c r="Y40" s="3"/>
    </row>
    <row r="41" spans="2:25" s="1" customFormat="1" x14ac:dyDescent="0.35">
      <c r="B41" s="37"/>
      <c r="C41" s="3">
        <v>4</v>
      </c>
      <c r="D41" s="3" t="s">
        <v>80</v>
      </c>
      <c r="E41" s="3" t="s">
        <v>80</v>
      </c>
      <c r="F41" s="3"/>
      <c r="G41" s="52"/>
      <c r="H41" s="3">
        <v>0.09</v>
      </c>
      <c r="I41" s="3"/>
      <c r="J41" s="3"/>
      <c r="K41" s="3"/>
      <c r="L41" s="52"/>
      <c r="M41" s="3"/>
      <c r="N41" s="3"/>
      <c r="O41" s="3"/>
      <c r="P41" s="3"/>
      <c r="Q41" s="4"/>
      <c r="R41" s="3"/>
      <c r="S41" s="51"/>
      <c r="T41" s="51"/>
      <c r="U41" s="3" t="s">
        <v>114</v>
      </c>
      <c r="V41" s="3"/>
      <c r="W41" s="3"/>
      <c r="X41" s="3"/>
      <c r="Y41" s="3"/>
    </row>
    <row r="42" spans="2:25" s="1" customFormat="1" x14ac:dyDescent="0.35">
      <c r="B42" s="37"/>
      <c r="C42" s="3">
        <v>3</v>
      </c>
      <c r="D42" s="3" t="s">
        <v>133</v>
      </c>
      <c r="E42" s="4" t="s">
        <v>134</v>
      </c>
      <c r="F42" s="3" t="s">
        <v>135</v>
      </c>
      <c r="G42" s="52"/>
      <c r="H42" s="3">
        <v>180</v>
      </c>
      <c r="I42" s="3"/>
      <c r="J42" s="3"/>
      <c r="K42" s="3"/>
      <c r="L42" s="51">
        <f>V42/POWER(10,6)</f>
        <v>4.8000000000000001E-5</v>
      </c>
      <c r="M42" s="3"/>
      <c r="N42" s="3"/>
      <c r="O42" s="3"/>
      <c r="P42" s="3"/>
      <c r="Q42" s="4"/>
      <c r="R42" s="3"/>
      <c r="S42" s="51"/>
      <c r="T42" s="51"/>
      <c r="U42" s="3" t="s">
        <v>136</v>
      </c>
      <c r="V42" s="3">
        <v>48</v>
      </c>
      <c r="W42" s="3" t="s">
        <v>137</v>
      </c>
      <c r="X42" s="3"/>
      <c r="Y42" s="3"/>
    </row>
    <row r="43" spans="2:25" s="1" customFormat="1" x14ac:dyDescent="0.35">
      <c r="B43" s="37"/>
      <c r="C43" s="3">
        <v>3</v>
      </c>
      <c r="D43" s="3" t="s">
        <v>133</v>
      </c>
      <c r="E43" s="4" t="s">
        <v>134</v>
      </c>
      <c r="F43" s="3" t="s">
        <v>138</v>
      </c>
      <c r="G43" s="52"/>
      <c r="H43" s="3"/>
      <c r="I43" s="3"/>
      <c r="J43" s="3"/>
      <c r="K43" s="3"/>
      <c r="L43" s="51">
        <f t="shared" ref="L43:L45" si="1">V43/POWER(10,6)</f>
        <v>0</v>
      </c>
      <c r="M43" s="3"/>
      <c r="N43" s="3"/>
      <c r="O43" s="3"/>
      <c r="P43" s="3"/>
      <c r="Q43" s="4"/>
      <c r="R43" s="3"/>
      <c r="S43" s="51"/>
      <c r="T43" s="51"/>
      <c r="U43" s="3" t="s">
        <v>136</v>
      </c>
      <c r="V43" s="3"/>
      <c r="W43" s="3"/>
      <c r="X43" s="3"/>
      <c r="Y43" s="3"/>
    </row>
    <row r="44" spans="2:25" s="1" customFormat="1" x14ac:dyDescent="0.35">
      <c r="B44" s="37"/>
      <c r="C44" s="3">
        <v>3</v>
      </c>
      <c r="D44" s="3" t="s">
        <v>133</v>
      </c>
      <c r="E44" s="4" t="s">
        <v>134</v>
      </c>
      <c r="F44" s="3" t="s">
        <v>139</v>
      </c>
      <c r="G44" s="52"/>
      <c r="H44" s="3">
        <f>2.8*POWER(10,5)</f>
        <v>280000</v>
      </c>
      <c r="I44" s="3"/>
      <c r="J44" s="3"/>
      <c r="K44" s="3"/>
      <c r="L44" s="51">
        <f t="shared" si="1"/>
        <v>0.03</v>
      </c>
      <c r="M44" s="3"/>
      <c r="N44" s="3"/>
      <c r="O44" s="3"/>
      <c r="P44" s="3"/>
      <c r="Q44" s="4"/>
      <c r="R44" s="3"/>
      <c r="S44" s="51"/>
      <c r="T44" s="51"/>
      <c r="U44" s="3" t="s">
        <v>136</v>
      </c>
      <c r="V44" s="3">
        <f>3*POWER(10,4)</f>
        <v>30000</v>
      </c>
      <c r="W44" s="3"/>
      <c r="X44" s="3"/>
      <c r="Y44" s="3"/>
    </row>
    <row r="45" spans="2:25" s="1" customFormat="1" x14ac:dyDescent="0.35">
      <c r="B45" s="37"/>
      <c r="C45" s="3">
        <v>3</v>
      </c>
      <c r="D45" s="3" t="s">
        <v>133</v>
      </c>
      <c r="E45" s="4" t="s">
        <v>134</v>
      </c>
      <c r="F45" s="3" t="s">
        <v>140</v>
      </c>
      <c r="G45" s="52"/>
      <c r="H45" s="3"/>
      <c r="I45" s="3"/>
      <c r="J45" s="3"/>
      <c r="K45" s="3"/>
      <c r="L45" s="51">
        <f t="shared" si="1"/>
        <v>0</v>
      </c>
      <c r="M45" s="3"/>
      <c r="N45" s="3"/>
      <c r="O45" s="3"/>
      <c r="P45" s="3"/>
      <c r="Q45" s="4"/>
      <c r="R45" s="3"/>
      <c r="S45" s="51"/>
      <c r="T45" s="51"/>
      <c r="U45" s="3" t="s">
        <v>136</v>
      </c>
      <c r="V45" s="3"/>
      <c r="W45" s="3"/>
      <c r="X45" s="3"/>
      <c r="Y45" s="3"/>
    </row>
    <row r="46" spans="2:25" s="1" customFormat="1" x14ac:dyDescent="0.35">
      <c r="B46" s="37"/>
      <c r="C46" s="3">
        <v>3</v>
      </c>
      <c r="D46" s="3" t="s">
        <v>133</v>
      </c>
      <c r="E46" s="4" t="s">
        <v>134</v>
      </c>
      <c r="F46" s="3" t="s">
        <v>141</v>
      </c>
      <c r="G46" s="52">
        <v>2</v>
      </c>
      <c r="H46" s="3"/>
      <c r="I46" s="3"/>
      <c r="J46" s="3"/>
      <c r="K46" s="3"/>
      <c r="L46" s="52"/>
      <c r="M46" s="3"/>
      <c r="N46" s="3"/>
      <c r="O46" s="3"/>
      <c r="P46" s="3"/>
      <c r="Q46" s="4"/>
      <c r="R46" s="3"/>
      <c r="S46" s="51">
        <f t="shared" ref="S46:S52" si="2">G46*POWER(10,-6)</f>
        <v>1.9999999999999999E-6</v>
      </c>
      <c r="T46" s="51"/>
      <c r="U46" s="3" t="s">
        <v>142</v>
      </c>
      <c r="V46" s="3"/>
      <c r="W46" s="3" t="s">
        <v>143</v>
      </c>
      <c r="X46" s="3"/>
      <c r="Y46" s="3"/>
    </row>
    <row r="47" spans="2:25" s="1" customFormat="1" x14ac:dyDescent="0.35">
      <c r="B47" s="37"/>
      <c r="C47" s="3">
        <v>3</v>
      </c>
      <c r="D47" s="3" t="s">
        <v>133</v>
      </c>
      <c r="E47" s="4" t="s">
        <v>134</v>
      </c>
      <c r="F47" s="3" t="s">
        <v>144</v>
      </c>
      <c r="G47" s="50">
        <f>M47*1000</f>
        <v>1.06</v>
      </c>
      <c r="H47" s="6"/>
      <c r="I47" s="7"/>
      <c r="J47" s="7"/>
      <c r="K47" s="7"/>
      <c r="L47" s="49"/>
      <c r="M47" s="4">
        <f>0.000106*10</f>
        <v>1.06E-3</v>
      </c>
      <c r="N47" s="4"/>
      <c r="O47" s="4"/>
      <c r="P47" s="4"/>
      <c r="Q47" s="4"/>
      <c r="R47" s="4"/>
      <c r="S47" s="51">
        <f t="shared" si="2"/>
        <v>1.06E-6</v>
      </c>
      <c r="T47" s="51"/>
      <c r="U47" s="3" t="s">
        <v>83</v>
      </c>
      <c r="V47" s="3"/>
      <c r="W47" s="3" t="s">
        <v>84</v>
      </c>
      <c r="X47" s="3"/>
      <c r="Y47" s="3"/>
    </row>
    <row r="48" spans="2:25" s="1" customFormat="1" x14ac:dyDescent="0.35">
      <c r="B48" s="37"/>
      <c r="C48" s="3">
        <v>3</v>
      </c>
      <c r="D48" s="3" t="s">
        <v>133</v>
      </c>
      <c r="E48" s="4" t="s">
        <v>145</v>
      </c>
      <c r="F48" s="3" t="s">
        <v>146</v>
      </c>
      <c r="G48" s="50">
        <f>M48*1000</f>
        <v>1.4999999999999998</v>
      </c>
      <c r="H48" s="6"/>
      <c r="I48" s="7"/>
      <c r="J48" s="7"/>
      <c r="K48" s="7"/>
      <c r="L48" s="49"/>
      <c r="M48" s="4">
        <f>0.00015*10</f>
        <v>1.4999999999999998E-3</v>
      </c>
      <c r="N48" s="4"/>
      <c r="O48" s="4"/>
      <c r="P48" s="4"/>
      <c r="Q48" s="4"/>
      <c r="R48" s="4"/>
      <c r="S48" s="51">
        <f t="shared" si="2"/>
        <v>1.4999999999999996E-6</v>
      </c>
      <c r="T48" s="51"/>
      <c r="U48" s="3" t="s">
        <v>83</v>
      </c>
      <c r="V48" s="3"/>
      <c r="W48" s="3" t="s">
        <v>84</v>
      </c>
      <c r="X48" s="3"/>
      <c r="Y48" s="3"/>
    </row>
    <row r="49" spans="1:25" s="1" customFormat="1" x14ac:dyDescent="0.35">
      <c r="A49"/>
      <c r="B49" s="36"/>
      <c r="C49" s="3">
        <v>3</v>
      </c>
      <c r="D49" s="3" t="s">
        <v>133</v>
      </c>
      <c r="E49" s="4" t="s">
        <v>147</v>
      </c>
      <c r="F49" s="3" t="s">
        <v>148</v>
      </c>
      <c r="G49" s="49">
        <v>15</v>
      </c>
      <c r="H49" s="40">
        <v>196.34954084936206</v>
      </c>
      <c r="I49" s="6">
        <f>H49/1000000</f>
        <v>1.9634954084936205E-4</v>
      </c>
      <c r="J49" s="7"/>
      <c r="K49" s="7"/>
      <c r="L49" s="50">
        <v>2.7488935718910689E-5</v>
      </c>
      <c r="M49" s="4"/>
      <c r="N49" s="4"/>
      <c r="O49" s="4"/>
      <c r="P49" s="4"/>
      <c r="Q49" s="4"/>
      <c r="R49" s="3"/>
      <c r="S49" s="51">
        <f t="shared" si="2"/>
        <v>1.4999999999999999E-5</v>
      </c>
      <c r="T49" s="51">
        <f>L49/1000000</f>
        <v>2.7488935718910689E-11</v>
      </c>
      <c r="U49" s="3" t="s">
        <v>149</v>
      </c>
      <c r="V49" s="3"/>
      <c r="W49" s="3"/>
      <c r="X49" s="3"/>
      <c r="Y49" s="3"/>
    </row>
    <row r="50" spans="1:25" s="1" customFormat="1" x14ac:dyDescent="0.35">
      <c r="B50" s="37"/>
      <c r="C50" s="3">
        <v>3</v>
      </c>
      <c r="D50" s="3" t="s">
        <v>133</v>
      </c>
      <c r="E50" s="4" t="s">
        <v>145</v>
      </c>
      <c r="F50" s="3" t="s">
        <v>150</v>
      </c>
      <c r="G50" s="50">
        <f>M50*1000</f>
        <v>54.5</v>
      </c>
      <c r="H50" s="6"/>
      <c r="I50" s="7"/>
      <c r="J50" s="7"/>
      <c r="K50" s="7"/>
      <c r="L50" s="49"/>
      <c r="M50" s="4">
        <f>0.00545*10</f>
        <v>5.45E-2</v>
      </c>
      <c r="N50" s="4"/>
      <c r="O50" s="4"/>
      <c r="P50" s="4"/>
      <c r="Q50" s="4"/>
      <c r="R50" s="4"/>
      <c r="S50" s="51">
        <f t="shared" si="2"/>
        <v>5.4499999999999997E-5</v>
      </c>
      <c r="T50" s="51"/>
      <c r="U50" s="3" t="s">
        <v>83</v>
      </c>
      <c r="V50" s="3"/>
      <c r="W50" s="3" t="s">
        <v>84</v>
      </c>
      <c r="X50" s="3"/>
      <c r="Y50" s="3"/>
    </row>
    <row r="51" spans="1:25" s="1" customFormat="1" x14ac:dyDescent="0.35">
      <c r="B51" s="37"/>
      <c r="C51" s="3">
        <v>3</v>
      </c>
      <c r="D51" s="3" t="s">
        <v>133</v>
      </c>
      <c r="E51" s="4" t="s">
        <v>134</v>
      </c>
      <c r="F51" s="3" t="s">
        <v>151</v>
      </c>
      <c r="G51" s="50">
        <f>M51*1000</f>
        <v>1008.8110000000001</v>
      </c>
      <c r="H51" s="6"/>
      <c r="I51" s="7"/>
      <c r="J51" s="7"/>
      <c r="K51" s="7"/>
      <c r="L51" s="49"/>
      <c r="M51" s="4">
        <f>0.1008811*10</f>
        <v>1.0088110000000001</v>
      </c>
      <c r="N51" s="4"/>
      <c r="O51" s="4"/>
      <c r="P51" s="4"/>
      <c r="Q51" s="4"/>
      <c r="R51" s="4"/>
      <c r="S51" s="51">
        <f t="shared" si="2"/>
        <v>1.0088110000000001E-3</v>
      </c>
      <c r="T51" s="51"/>
      <c r="U51" s="3" t="s">
        <v>83</v>
      </c>
      <c r="V51" s="3"/>
      <c r="W51" s="3" t="s">
        <v>84</v>
      </c>
      <c r="X51" s="3"/>
      <c r="Y51" s="3"/>
    </row>
    <row r="52" spans="1:25" s="1" customFormat="1" x14ac:dyDescent="0.35">
      <c r="A52"/>
      <c r="B52" s="36"/>
      <c r="C52" s="3">
        <v>3</v>
      </c>
      <c r="D52" s="3" t="s">
        <v>133</v>
      </c>
      <c r="E52" s="4" t="s">
        <v>147</v>
      </c>
      <c r="F52" s="3" t="s">
        <v>152</v>
      </c>
      <c r="G52" s="49">
        <v>3310</v>
      </c>
      <c r="H52" s="40">
        <v>13429490.471009493</v>
      </c>
      <c r="I52" s="6">
        <f>H52/1000000</f>
        <v>13.429490471009492</v>
      </c>
      <c r="J52" s="7"/>
      <c r="K52" s="7"/>
      <c r="L52" s="50">
        <v>1.8801286659413292</v>
      </c>
      <c r="M52" s="4"/>
      <c r="N52" s="4"/>
      <c r="O52" s="4"/>
      <c r="P52" s="4"/>
      <c r="Q52" s="4"/>
      <c r="R52" s="3"/>
      <c r="S52" s="51">
        <f t="shared" si="2"/>
        <v>3.31E-3</v>
      </c>
      <c r="T52" s="51">
        <f>L52/1000000</f>
        <v>1.8801286659413292E-6</v>
      </c>
      <c r="U52" s="3" t="s">
        <v>149</v>
      </c>
      <c r="V52" s="3"/>
      <c r="W52" s="3"/>
      <c r="X52" s="3"/>
      <c r="Y52" s="3"/>
    </row>
    <row r="53" spans="1:25" s="1" customFormat="1" x14ac:dyDescent="0.35">
      <c r="B53" s="37"/>
      <c r="C53" s="3">
        <v>3</v>
      </c>
      <c r="D53" s="3" t="s">
        <v>133</v>
      </c>
      <c r="E53" s="4" t="s">
        <v>147</v>
      </c>
      <c r="F53" s="3" t="s">
        <v>153</v>
      </c>
      <c r="G53" s="49"/>
      <c r="H53" s="7"/>
      <c r="I53" s="6">
        <f>N53*1000000</f>
        <v>2.9610000000000001E-3</v>
      </c>
      <c r="J53" s="7"/>
      <c r="K53" s="7"/>
      <c r="L53" s="49"/>
      <c r="M53" s="4"/>
      <c r="N53" s="4">
        <f>0.002961/1000/1000</f>
        <v>2.961E-9</v>
      </c>
      <c r="O53" s="4"/>
      <c r="P53" s="4"/>
      <c r="Q53" s="4"/>
      <c r="R53" s="3"/>
      <c r="S53" s="51"/>
      <c r="T53" s="51"/>
      <c r="U53" s="3" t="s">
        <v>154</v>
      </c>
      <c r="V53" s="3"/>
      <c r="W53" s="3"/>
      <c r="X53" s="3"/>
      <c r="Y53" s="3"/>
    </row>
    <row r="54" spans="1:25" x14ac:dyDescent="0.35">
      <c r="A54" s="1"/>
      <c r="B54" s="37"/>
      <c r="C54" s="3">
        <v>3</v>
      </c>
      <c r="D54" s="3" t="s">
        <v>133</v>
      </c>
      <c r="E54" s="4" t="s">
        <v>147</v>
      </c>
      <c r="F54" s="3" t="s">
        <v>155</v>
      </c>
      <c r="I54" s="6">
        <f>N54*1000000</f>
        <v>0.21740000000000001</v>
      </c>
      <c r="N54" s="4">
        <f>0.2174/1000/1000</f>
        <v>2.174E-7</v>
      </c>
      <c r="U54" s="3" t="s">
        <v>154</v>
      </c>
    </row>
    <row r="55" spans="1:25" x14ac:dyDescent="0.35">
      <c r="C55" s="3">
        <v>3</v>
      </c>
      <c r="D55" s="3" t="s">
        <v>133</v>
      </c>
      <c r="E55" s="4" t="s">
        <v>147</v>
      </c>
      <c r="F55" s="3" t="s">
        <v>156</v>
      </c>
      <c r="H55" s="40">
        <v>497000</v>
      </c>
      <c r="I55" s="6">
        <f>H55/1000000</f>
        <v>0.497</v>
      </c>
      <c r="L55" s="50"/>
      <c r="U55" s="3" t="s">
        <v>157</v>
      </c>
    </row>
    <row r="56" spans="1:25" x14ac:dyDescent="0.35">
      <c r="A56" s="1"/>
      <c r="B56" s="37"/>
      <c r="C56" s="3">
        <v>3</v>
      </c>
      <c r="D56" s="3" t="s">
        <v>133</v>
      </c>
      <c r="E56" s="4" t="s">
        <v>158</v>
      </c>
      <c r="F56" s="3" t="s">
        <v>159</v>
      </c>
      <c r="G56" s="50"/>
      <c r="H56" s="6"/>
      <c r="J56" s="6"/>
      <c r="K56" s="6"/>
      <c r="L56" s="50">
        <f>T56*1000000</f>
        <v>8.0000000000000007E-7</v>
      </c>
      <c r="R56" s="4"/>
      <c r="T56" s="51">
        <f>0.8*POWER(10,-12)</f>
        <v>8.0000000000000002E-13</v>
      </c>
      <c r="U56" s="3" t="s">
        <v>56</v>
      </c>
      <c r="W56" s="3" t="s">
        <v>160</v>
      </c>
    </row>
    <row r="57" spans="1:25" x14ac:dyDescent="0.35">
      <c r="A57" s="1"/>
      <c r="B57" s="37"/>
      <c r="C57" s="3">
        <v>3</v>
      </c>
      <c r="D57" s="3" t="s">
        <v>133</v>
      </c>
      <c r="E57" s="4" t="s">
        <v>161</v>
      </c>
      <c r="F57" s="3" t="s">
        <v>162</v>
      </c>
      <c r="I57" s="6">
        <f>N57*1000000</f>
        <v>5.0000000000000001E-4</v>
      </c>
      <c r="N57" s="4">
        <f>W57*POWER(10,-12)</f>
        <v>5.0000000000000003E-10</v>
      </c>
      <c r="R57" s="4"/>
      <c r="U57" s="3" t="s">
        <v>163</v>
      </c>
      <c r="W57" s="3">
        <v>500</v>
      </c>
    </row>
    <row r="58" spans="1:25" x14ac:dyDescent="0.35">
      <c r="C58" s="3">
        <v>3</v>
      </c>
      <c r="D58" s="3" t="s">
        <v>133</v>
      </c>
      <c r="E58" s="4" t="s">
        <v>161</v>
      </c>
      <c r="F58" s="3" t="s">
        <v>164</v>
      </c>
      <c r="I58" s="6">
        <f>N58*1000000</f>
        <v>5.7499999999999999E-3</v>
      </c>
      <c r="N58" s="4">
        <f>W58*POWER(10,-12)</f>
        <v>5.7500000000000002E-9</v>
      </c>
      <c r="R58" s="4"/>
      <c r="U58" s="3" t="s">
        <v>163</v>
      </c>
      <c r="W58" s="3">
        <v>5750</v>
      </c>
    </row>
    <row r="59" spans="1:25" x14ac:dyDescent="0.35">
      <c r="C59" s="3">
        <v>3</v>
      </c>
      <c r="D59" s="3" t="s">
        <v>133</v>
      </c>
      <c r="E59" s="4" t="s">
        <v>161</v>
      </c>
      <c r="F59" s="3" t="s">
        <v>165</v>
      </c>
      <c r="I59" s="6">
        <f>N59*1000000</f>
        <v>1.4E-3</v>
      </c>
      <c r="N59" s="4">
        <f>W59*POWER(10,-12)</f>
        <v>1.3999999999999999E-9</v>
      </c>
      <c r="R59" s="4"/>
      <c r="U59" s="3" t="s">
        <v>163</v>
      </c>
      <c r="W59" s="3">
        <v>1400</v>
      </c>
    </row>
    <row r="60" spans="1:25" x14ac:dyDescent="0.35">
      <c r="C60" s="3">
        <v>3</v>
      </c>
      <c r="D60" s="3" t="s">
        <v>133</v>
      </c>
      <c r="E60" s="4" t="s">
        <v>161</v>
      </c>
      <c r="F60" s="3" t="s">
        <v>166</v>
      </c>
      <c r="L60" s="50">
        <f>T60*1000000</f>
        <v>5.5249696969697002E-5</v>
      </c>
      <c r="T60" s="51">
        <v>5.5249696969697003E-11</v>
      </c>
      <c r="U60" s="3" t="s">
        <v>18</v>
      </c>
    </row>
    <row r="61" spans="1:25" x14ac:dyDescent="0.35">
      <c r="C61" s="3">
        <v>3</v>
      </c>
      <c r="D61" s="3" t="s">
        <v>133</v>
      </c>
      <c r="E61" s="4" t="s">
        <v>147</v>
      </c>
      <c r="F61" s="3" t="s">
        <v>167</v>
      </c>
      <c r="G61" s="49">
        <v>15</v>
      </c>
      <c r="L61" s="50"/>
      <c r="S61" s="51">
        <f>G61/POWER(10,6)</f>
        <v>1.5E-5</v>
      </c>
      <c r="U61" s="3" t="s">
        <v>168</v>
      </c>
      <c r="V61" s="3" t="s">
        <v>169</v>
      </c>
    </row>
    <row r="62" spans="1:25" x14ac:dyDescent="0.35">
      <c r="C62" s="3">
        <v>3</v>
      </c>
      <c r="D62" s="3" t="s">
        <v>133</v>
      </c>
      <c r="E62" s="4" t="s">
        <v>147</v>
      </c>
      <c r="F62" s="3" t="s">
        <v>170</v>
      </c>
      <c r="G62" s="49">
        <v>2000</v>
      </c>
      <c r="L62" s="50"/>
      <c r="S62" s="51">
        <f>G62/POWER(10,6)</f>
        <v>2E-3</v>
      </c>
      <c r="U62" s="3" t="s">
        <v>171</v>
      </c>
      <c r="V62" s="3" t="s">
        <v>172</v>
      </c>
    </row>
    <row r="63" spans="1:25" x14ac:dyDescent="0.35">
      <c r="C63" s="3">
        <v>2</v>
      </c>
      <c r="D63" s="3" t="s">
        <v>173</v>
      </c>
      <c r="E63" s="4" t="s">
        <v>174</v>
      </c>
      <c r="F63" s="3" t="s">
        <v>175</v>
      </c>
      <c r="G63" s="49">
        <v>65</v>
      </c>
      <c r="L63" s="50">
        <v>3.9543161280887777E-3</v>
      </c>
      <c r="R63" s="4"/>
      <c r="S63" s="51">
        <f>G63*POWER(10,-6)</f>
        <v>6.4999999999999994E-5</v>
      </c>
      <c r="T63" s="51">
        <f>L63/1000000</f>
        <v>3.9543161280887781E-9</v>
      </c>
      <c r="U63" s="3" t="s">
        <v>149</v>
      </c>
    </row>
    <row r="64" spans="1:25" x14ac:dyDescent="0.35">
      <c r="C64" s="3">
        <v>2</v>
      </c>
      <c r="D64" s="3" t="s">
        <v>173</v>
      </c>
      <c r="E64" s="4" t="s">
        <v>174</v>
      </c>
      <c r="F64" s="3" t="s">
        <v>176</v>
      </c>
      <c r="G64" s="49">
        <v>3171</v>
      </c>
      <c r="L64" s="50">
        <v>1.3827469023323613</v>
      </c>
      <c r="R64" s="4"/>
      <c r="S64" s="51">
        <f>G64*POWER(10,-6)</f>
        <v>3.1709999999999998E-3</v>
      </c>
      <c r="T64" s="51">
        <f>L64/1000000</f>
        <v>1.3827469023323613E-6</v>
      </c>
      <c r="U64" s="3" t="s">
        <v>149</v>
      </c>
    </row>
    <row r="65" spans="3:25" x14ac:dyDescent="0.35">
      <c r="C65" s="3">
        <v>2</v>
      </c>
      <c r="D65" s="3" t="s">
        <v>173</v>
      </c>
      <c r="E65" s="4" t="s">
        <v>174</v>
      </c>
      <c r="F65" s="3" t="s">
        <v>177</v>
      </c>
      <c r="I65" s="6">
        <f>N65*1000000</f>
        <v>1</v>
      </c>
      <c r="J65" s="6">
        <f>Q65*1000000</f>
        <v>1</v>
      </c>
      <c r="K65" s="6"/>
      <c r="N65" s="4">
        <f>0.001/1000</f>
        <v>9.9999999999999995E-7</v>
      </c>
      <c r="Q65" s="4">
        <f>0.001/1000</f>
        <v>9.9999999999999995E-7</v>
      </c>
      <c r="R65" s="4"/>
      <c r="U65" s="3" t="s">
        <v>178</v>
      </c>
    </row>
    <row r="66" spans="3:25" x14ac:dyDescent="0.35">
      <c r="C66" s="3">
        <v>2</v>
      </c>
      <c r="D66" s="3" t="s">
        <v>173</v>
      </c>
      <c r="E66" s="4" t="s">
        <v>174</v>
      </c>
      <c r="F66" s="3" t="s">
        <v>179</v>
      </c>
      <c r="L66" s="51">
        <v>100</v>
      </c>
      <c r="T66" s="51">
        <f>L66/1000000</f>
        <v>1E-4</v>
      </c>
      <c r="U66" s="3" t="s">
        <v>180</v>
      </c>
    </row>
    <row r="67" spans="3:25" x14ac:dyDescent="0.35">
      <c r="C67" s="3">
        <v>2</v>
      </c>
      <c r="D67" s="3" t="s">
        <v>173</v>
      </c>
      <c r="E67" s="4" t="s">
        <v>174</v>
      </c>
      <c r="F67" s="3" t="s">
        <v>181</v>
      </c>
      <c r="L67" s="50">
        <v>0.15</v>
      </c>
      <c r="T67" s="51">
        <f>L67/1000000</f>
        <v>1.4999999999999999E-7</v>
      </c>
      <c r="U67" s="3" t="s">
        <v>180</v>
      </c>
      <c r="W67" s="3" t="s">
        <v>182</v>
      </c>
    </row>
    <row r="68" spans="3:25" x14ac:dyDescent="0.35">
      <c r="C68" s="3">
        <v>2</v>
      </c>
      <c r="D68" s="3" t="s">
        <v>173</v>
      </c>
      <c r="E68" s="4" t="s">
        <v>174</v>
      </c>
      <c r="F68" s="3" t="s">
        <v>183</v>
      </c>
      <c r="L68" s="49">
        <v>0.05</v>
      </c>
      <c r="T68" s="51">
        <f>L68/1000000</f>
        <v>5.0000000000000004E-8</v>
      </c>
      <c r="U68" s="3" t="s">
        <v>180</v>
      </c>
      <c r="W68" s="3" t="s">
        <v>184</v>
      </c>
    </row>
    <row r="69" spans="3:25" x14ac:dyDescent="0.35">
      <c r="C69" s="3">
        <v>2</v>
      </c>
      <c r="D69" s="3" t="s">
        <v>173</v>
      </c>
      <c r="E69" s="4" t="s">
        <v>174</v>
      </c>
      <c r="F69" s="3" t="s">
        <v>185</v>
      </c>
      <c r="L69" s="50">
        <f t="shared" ref="L69:L77" si="3">T69*1000000</f>
        <v>7.0000000000000007E-2</v>
      </c>
      <c r="R69" s="4"/>
      <c r="T69" s="51">
        <f t="shared" ref="T69:T77" si="4">W69/1000000</f>
        <v>7.0000000000000005E-8</v>
      </c>
      <c r="U69" s="3" t="s">
        <v>186</v>
      </c>
      <c r="W69" s="3">
        <v>7.0000000000000007E-2</v>
      </c>
    </row>
    <row r="70" spans="3:25" x14ac:dyDescent="0.35">
      <c r="C70" s="3">
        <v>2</v>
      </c>
      <c r="D70" s="3" t="s">
        <v>173</v>
      </c>
      <c r="E70" s="4" t="s">
        <v>174</v>
      </c>
      <c r="F70" s="3" t="s">
        <v>187</v>
      </c>
      <c r="L70" s="50">
        <f t="shared" si="3"/>
        <v>5.032</v>
      </c>
      <c r="R70" s="4"/>
      <c r="T70" s="51">
        <f t="shared" si="4"/>
        <v>5.0320000000000003E-6</v>
      </c>
      <c r="U70" s="3" t="s">
        <v>186</v>
      </c>
      <c r="W70" s="3">
        <v>5.032</v>
      </c>
    </row>
    <row r="71" spans="3:25" x14ac:dyDescent="0.35">
      <c r="C71" s="3">
        <v>2</v>
      </c>
      <c r="D71" s="3" t="s">
        <v>173</v>
      </c>
      <c r="E71" s="4" t="s">
        <v>174</v>
      </c>
      <c r="F71" s="3" t="s">
        <v>188</v>
      </c>
      <c r="L71" s="50">
        <f t="shared" si="3"/>
        <v>0.24</v>
      </c>
      <c r="R71" s="4"/>
      <c r="T71" s="51">
        <f t="shared" si="4"/>
        <v>2.3999999999999998E-7</v>
      </c>
      <c r="U71" s="3" t="s">
        <v>186</v>
      </c>
      <c r="W71" s="3">
        <v>0.24</v>
      </c>
    </row>
    <row r="72" spans="3:25" x14ac:dyDescent="0.35">
      <c r="C72" s="3">
        <v>2</v>
      </c>
      <c r="D72" s="3" t="s">
        <v>173</v>
      </c>
      <c r="E72" s="4" t="s">
        <v>174</v>
      </c>
      <c r="F72" s="3" t="s">
        <v>189</v>
      </c>
      <c r="L72" s="50">
        <f t="shared" si="3"/>
        <v>4.7</v>
      </c>
      <c r="R72" s="4"/>
      <c r="T72" s="51">
        <f t="shared" si="4"/>
        <v>4.6999999999999999E-6</v>
      </c>
      <c r="U72" s="3" t="s">
        <v>186</v>
      </c>
      <c r="W72" s="3">
        <v>4.7</v>
      </c>
    </row>
    <row r="73" spans="3:25" x14ac:dyDescent="0.35">
      <c r="C73" s="3">
        <v>2</v>
      </c>
      <c r="D73" s="3" t="s">
        <v>173</v>
      </c>
      <c r="E73" s="4" t="s">
        <v>174</v>
      </c>
      <c r="F73" s="3" t="s">
        <v>190</v>
      </c>
      <c r="L73" s="50">
        <f t="shared" si="3"/>
        <v>1.6</v>
      </c>
      <c r="R73" s="4"/>
      <c r="T73" s="51">
        <f t="shared" si="4"/>
        <v>1.6000000000000001E-6</v>
      </c>
      <c r="U73" s="3" t="s">
        <v>186</v>
      </c>
      <c r="W73" s="3">
        <v>1.6</v>
      </c>
    </row>
    <row r="74" spans="3:25" x14ac:dyDescent="0.35">
      <c r="C74" s="3">
        <v>2</v>
      </c>
      <c r="D74" s="3" t="s">
        <v>173</v>
      </c>
      <c r="E74" s="4" t="s">
        <v>174</v>
      </c>
      <c r="F74" s="3" t="s">
        <v>191</v>
      </c>
      <c r="L74" s="50">
        <f t="shared" si="3"/>
        <v>5.2</v>
      </c>
      <c r="R74" s="4"/>
      <c r="T74" s="51">
        <f t="shared" si="4"/>
        <v>5.2000000000000002E-6</v>
      </c>
      <c r="U74" s="3" t="s">
        <v>186</v>
      </c>
      <c r="W74" s="3">
        <v>5.2</v>
      </c>
    </row>
    <row r="75" spans="3:25" x14ac:dyDescent="0.35">
      <c r="C75" s="3">
        <v>2</v>
      </c>
      <c r="D75" s="3" t="s">
        <v>173</v>
      </c>
      <c r="E75" s="4" t="s">
        <v>174</v>
      </c>
      <c r="F75" s="3" t="s">
        <v>192</v>
      </c>
      <c r="L75" s="50">
        <f t="shared" si="3"/>
        <v>0.02</v>
      </c>
      <c r="R75" s="4"/>
      <c r="T75" s="51">
        <f t="shared" si="4"/>
        <v>2E-8</v>
      </c>
      <c r="U75" s="3" t="s">
        <v>193</v>
      </c>
      <c r="W75" s="3">
        <v>0.02</v>
      </c>
    </row>
    <row r="76" spans="3:25" x14ac:dyDescent="0.35">
      <c r="C76" s="3">
        <v>2</v>
      </c>
      <c r="D76" s="3" t="s">
        <v>173</v>
      </c>
      <c r="E76" s="4" t="s">
        <v>174</v>
      </c>
      <c r="F76" s="3" t="s">
        <v>183</v>
      </c>
      <c r="L76" s="50">
        <f t="shared" si="3"/>
        <v>0.13</v>
      </c>
      <c r="R76" s="4"/>
      <c r="T76" s="51">
        <f t="shared" si="4"/>
        <v>1.3E-7</v>
      </c>
      <c r="U76" s="3" t="s">
        <v>194</v>
      </c>
      <c r="W76" s="3">
        <v>0.13</v>
      </c>
    </row>
    <row r="77" spans="3:25" x14ac:dyDescent="0.35">
      <c r="C77" s="3">
        <v>2</v>
      </c>
      <c r="D77" s="3" t="s">
        <v>173</v>
      </c>
      <c r="E77" s="4" t="s">
        <v>174</v>
      </c>
      <c r="F77" s="3" t="s">
        <v>195</v>
      </c>
      <c r="L77" s="50">
        <f t="shared" si="3"/>
        <v>2.3E-2</v>
      </c>
      <c r="R77" s="4"/>
      <c r="T77" s="51">
        <f t="shared" si="4"/>
        <v>2.3000000000000001E-8</v>
      </c>
      <c r="U77" s="3" t="s">
        <v>194</v>
      </c>
      <c r="W77" s="3">
        <v>2.3E-2</v>
      </c>
    </row>
    <row r="78" spans="3:25" x14ac:dyDescent="0.35">
      <c r="C78" s="3">
        <v>1</v>
      </c>
      <c r="D78" s="3" t="s">
        <v>196</v>
      </c>
      <c r="E78" s="3" t="s">
        <v>196</v>
      </c>
      <c r="F78" s="3" t="s">
        <v>197</v>
      </c>
      <c r="G78" s="51">
        <v>4000</v>
      </c>
      <c r="H78" s="3" t="s">
        <v>90</v>
      </c>
      <c r="I78" s="3" t="s">
        <v>90</v>
      </c>
      <c r="J78" s="3" t="s">
        <v>90</v>
      </c>
      <c r="K78" s="3"/>
      <c r="L78" s="52"/>
      <c r="M78" s="34"/>
      <c r="N78" s="3"/>
      <c r="O78" s="3"/>
      <c r="P78" s="3"/>
      <c r="Q78" s="4">
        <f>2.1/1000</f>
        <v>2.1000000000000003E-3</v>
      </c>
      <c r="S78" s="51">
        <f t="shared" ref="S78:S83" si="5">G78*POWER(10,-6)</f>
        <v>4.0000000000000001E-3</v>
      </c>
      <c r="U78" s="3" t="s">
        <v>198</v>
      </c>
      <c r="V78" s="3" t="s">
        <v>199</v>
      </c>
      <c r="W78" s="51" t="s">
        <v>200</v>
      </c>
      <c r="Y78" s="3">
        <v>2.1</v>
      </c>
    </row>
    <row r="79" spans="3:25" x14ac:dyDescent="0.35">
      <c r="C79" s="3">
        <v>1</v>
      </c>
      <c r="D79" s="3" t="s">
        <v>196</v>
      </c>
      <c r="E79" s="3" t="s">
        <v>196</v>
      </c>
      <c r="F79" s="3" t="s">
        <v>201</v>
      </c>
      <c r="G79" s="51">
        <v>4000</v>
      </c>
      <c r="H79" s="3"/>
      <c r="I79" s="3"/>
      <c r="J79" s="3"/>
      <c r="K79" s="3"/>
      <c r="L79" s="52"/>
      <c r="M79" s="34"/>
      <c r="N79" s="3"/>
      <c r="O79" s="3"/>
      <c r="P79" s="3"/>
      <c r="Q79" s="4">
        <f>2.2/1000</f>
        <v>2.2000000000000001E-3</v>
      </c>
      <c r="S79" s="51">
        <f t="shared" si="5"/>
        <v>4.0000000000000001E-3</v>
      </c>
      <c r="U79" s="3" t="s">
        <v>198</v>
      </c>
      <c r="V79" s="3" t="s">
        <v>199</v>
      </c>
      <c r="W79" s="51"/>
    </row>
    <row r="80" spans="3:25" x14ac:dyDescent="0.35">
      <c r="C80" s="3">
        <v>1</v>
      </c>
      <c r="D80" s="3" t="s">
        <v>196</v>
      </c>
      <c r="E80" s="3" t="s">
        <v>196</v>
      </c>
      <c r="F80" s="3" t="s">
        <v>202</v>
      </c>
      <c r="G80" s="51">
        <v>9000</v>
      </c>
      <c r="H80" s="3" t="s">
        <v>90</v>
      </c>
      <c r="I80" s="3" t="s">
        <v>90</v>
      </c>
      <c r="J80" s="3" t="s">
        <v>90</v>
      </c>
      <c r="K80" s="3"/>
      <c r="L80" s="52"/>
      <c r="M80" s="34"/>
      <c r="N80" s="3"/>
      <c r="O80" s="3"/>
      <c r="P80" s="3"/>
      <c r="Q80" s="4">
        <f>8.7/1000</f>
        <v>8.6999999999999994E-3</v>
      </c>
      <c r="S80" s="51">
        <f t="shared" si="5"/>
        <v>8.9999999999999993E-3</v>
      </c>
      <c r="U80" s="3" t="s">
        <v>198</v>
      </c>
      <c r="V80" s="3" t="s">
        <v>199</v>
      </c>
      <c r="W80" s="51"/>
      <c r="Y80" s="3">
        <v>6.7</v>
      </c>
    </row>
    <row r="81" spans="3:25" x14ac:dyDescent="0.35">
      <c r="C81" s="3">
        <v>1</v>
      </c>
      <c r="D81" s="3" t="s">
        <v>196</v>
      </c>
      <c r="E81" s="3" t="s">
        <v>196</v>
      </c>
      <c r="F81" s="3" t="s">
        <v>203</v>
      </c>
      <c r="G81" s="51">
        <v>12000</v>
      </c>
      <c r="H81" s="3" t="s">
        <v>90</v>
      </c>
      <c r="I81" s="3" t="s">
        <v>90</v>
      </c>
      <c r="J81" s="3" t="s">
        <v>90</v>
      </c>
      <c r="K81" s="3"/>
      <c r="L81" s="52"/>
      <c r="M81" s="34"/>
      <c r="N81" s="3"/>
      <c r="O81" s="3"/>
      <c r="P81" s="3"/>
      <c r="Q81" s="4">
        <f>6.2/1000</f>
        <v>6.1999999999999998E-3</v>
      </c>
      <c r="S81" s="51">
        <f t="shared" si="5"/>
        <v>1.2E-2</v>
      </c>
      <c r="U81" s="3" t="s">
        <v>198</v>
      </c>
      <c r="V81" s="3" t="s">
        <v>199</v>
      </c>
      <c r="W81" s="51"/>
      <c r="Y81" s="3">
        <v>2.2000000000000002</v>
      </c>
    </row>
    <row r="82" spans="3:25" x14ac:dyDescent="0.35">
      <c r="C82" s="3">
        <v>1</v>
      </c>
      <c r="D82" s="3" t="s">
        <v>196</v>
      </c>
      <c r="E82" s="3" t="s">
        <v>196</v>
      </c>
      <c r="F82" s="3" t="s">
        <v>204</v>
      </c>
      <c r="G82" s="51">
        <v>12000</v>
      </c>
      <c r="H82" s="3" t="s">
        <v>90</v>
      </c>
      <c r="I82" s="3" t="s">
        <v>90</v>
      </c>
      <c r="J82" s="3" t="s">
        <v>90</v>
      </c>
      <c r="K82" s="3"/>
      <c r="L82" s="52"/>
      <c r="M82" s="34"/>
      <c r="N82" s="3"/>
      <c r="O82" s="3"/>
      <c r="P82" s="3"/>
      <c r="Q82" s="4">
        <f>6.7/1000</f>
        <v>6.7000000000000002E-3</v>
      </c>
      <c r="S82" s="51">
        <f t="shared" si="5"/>
        <v>1.2E-2</v>
      </c>
      <c r="U82" s="3" t="s">
        <v>198</v>
      </c>
      <c r="V82" s="3" t="s">
        <v>199</v>
      </c>
      <c r="W82" s="51"/>
      <c r="Y82" s="3">
        <v>6.2</v>
      </c>
    </row>
    <row r="83" spans="3:25" x14ac:dyDescent="0.35">
      <c r="C83" s="3">
        <v>1</v>
      </c>
      <c r="D83" s="3" t="s">
        <v>196</v>
      </c>
      <c r="E83" s="3" t="s">
        <v>196</v>
      </c>
      <c r="F83" s="3" t="s">
        <v>205</v>
      </c>
      <c r="G83" s="51">
        <v>19000</v>
      </c>
      <c r="H83" s="3"/>
      <c r="I83" s="3"/>
      <c r="J83" s="3"/>
      <c r="K83" s="3"/>
      <c r="L83" s="52"/>
      <c r="M83" s="34"/>
      <c r="N83" s="3"/>
      <c r="O83" s="3"/>
      <c r="P83" s="3"/>
      <c r="Q83" s="4">
        <f>16/1000</f>
        <v>1.6E-2</v>
      </c>
      <c r="S83" s="51">
        <f t="shared" si="5"/>
        <v>1.9E-2</v>
      </c>
      <c r="U83" s="3" t="s">
        <v>198</v>
      </c>
      <c r="V83" s="3" t="s">
        <v>199</v>
      </c>
      <c r="W83" s="51"/>
    </row>
    <row r="84" spans="3:25" x14ac:dyDescent="0.35">
      <c r="C84" s="3">
        <v>1</v>
      </c>
      <c r="D84" s="3" t="s">
        <v>196</v>
      </c>
      <c r="E84" s="3" t="s">
        <v>206</v>
      </c>
      <c r="F84" s="3" t="s">
        <v>93</v>
      </c>
      <c r="S84" s="51">
        <f>2/100</f>
        <v>0.02</v>
      </c>
      <c r="U84" s="3" t="s">
        <v>207</v>
      </c>
      <c r="V84" s="3" t="s">
        <v>208</v>
      </c>
    </row>
    <row r="85" spans="3:25" x14ac:dyDescent="0.35">
      <c r="C85" s="3">
        <v>1</v>
      </c>
      <c r="D85" s="3" t="s">
        <v>196</v>
      </c>
      <c r="E85" s="3" t="s">
        <v>206</v>
      </c>
      <c r="F85" s="3" t="s">
        <v>131</v>
      </c>
      <c r="S85" s="51">
        <f>20/100</f>
        <v>0.2</v>
      </c>
      <c r="U85" s="3" t="s">
        <v>207</v>
      </c>
      <c r="V85" s="3" t="s">
        <v>208</v>
      </c>
    </row>
    <row r="86" spans="3:25" x14ac:dyDescent="0.35">
      <c r="C86" s="3">
        <v>1</v>
      </c>
      <c r="D86" s="3" t="s">
        <v>196</v>
      </c>
      <c r="E86" s="3" t="s">
        <v>209</v>
      </c>
      <c r="G86" s="52"/>
      <c r="H86" s="3"/>
      <c r="I86" s="3"/>
      <c r="J86" s="3"/>
      <c r="K86" s="3"/>
      <c r="L86" s="52">
        <v>0.15</v>
      </c>
      <c r="M86" s="3"/>
      <c r="N86" s="3"/>
      <c r="O86" s="3"/>
      <c r="P86" s="3"/>
      <c r="T86" s="51">
        <f>L86/1000000</f>
        <v>1.4999999999999999E-7</v>
      </c>
      <c r="U86" s="3" t="s">
        <v>56</v>
      </c>
    </row>
    <row r="87" spans="3:25" x14ac:dyDescent="0.35">
      <c r="C87" s="3">
        <v>1</v>
      </c>
      <c r="D87" s="3" t="s">
        <v>196</v>
      </c>
      <c r="E87" s="3" t="s">
        <v>209</v>
      </c>
      <c r="G87" s="52"/>
      <c r="H87" s="3"/>
      <c r="I87" s="3"/>
      <c r="J87" s="3"/>
      <c r="K87" s="3"/>
      <c r="L87" s="52">
        <v>100</v>
      </c>
      <c r="M87" s="3"/>
      <c r="N87" s="3"/>
      <c r="O87" s="3"/>
      <c r="P87" s="3"/>
      <c r="T87" s="51">
        <f>L87/1000000</f>
        <v>1E-4</v>
      </c>
      <c r="U87" s="3" t="s">
        <v>56</v>
      </c>
    </row>
    <row r="88" spans="3:25" x14ac:dyDescent="0.35">
      <c r="C88" s="3">
        <v>1</v>
      </c>
      <c r="D88" s="3" t="s">
        <v>196</v>
      </c>
      <c r="E88" s="3" t="s">
        <v>209</v>
      </c>
      <c r="F88" s="3" t="s">
        <v>93</v>
      </c>
      <c r="G88" s="52"/>
      <c r="H88" s="3"/>
      <c r="I88" s="3"/>
      <c r="J88" s="3"/>
      <c r="K88" s="3"/>
      <c r="L88" s="52"/>
      <c r="M88" s="3"/>
      <c r="N88" s="3"/>
      <c r="O88" s="3"/>
      <c r="P88" s="3"/>
      <c r="Q88" s="4">
        <f>POWER(10,-6)</f>
        <v>9.9999999999999995E-7</v>
      </c>
      <c r="U88" s="3" t="s">
        <v>85</v>
      </c>
      <c r="W88" s="3" t="s">
        <v>210</v>
      </c>
    </row>
    <row r="89" spans="3:25" x14ac:dyDescent="0.35">
      <c r="C89" s="3">
        <v>1</v>
      </c>
      <c r="D89" s="3" t="s">
        <v>196</v>
      </c>
      <c r="E89" s="3" t="s">
        <v>209</v>
      </c>
      <c r="F89" s="3" t="s">
        <v>131</v>
      </c>
      <c r="G89" s="52"/>
      <c r="H89" s="3"/>
      <c r="I89" s="3"/>
      <c r="J89" s="3"/>
      <c r="K89" s="3"/>
      <c r="L89" s="52"/>
      <c r="M89" s="3"/>
      <c r="N89" s="3"/>
      <c r="O89" s="3"/>
      <c r="P89" s="3"/>
      <c r="Q89" s="4">
        <v>10</v>
      </c>
      <c r="U89" s="3" t="s">
        <v>85</v>
      </c>
      <c r="W89" s="3" t="s">
        <v>210</v>
      </c>
    </row>
    <row r="90" spans="3:25" x14ac:dyDescent="0.35">
      <c r="C90" s="3">
        <v>1</v>
      </c>
      <c r="D90" s="3" t="s">
        <v>196</v>
      </c>
      <c r="E90" s="3" t="s">
        <v>206</v>
      </c>
      <c r="F90" s="3" t="s">
        <v>93</v>
      </c>
      <c r="G90" s="52"/>
      <c r="H90" s="3"/>
      <c r="I90" s="3"/>
      <c r="J90" s="3"/>
      <c r="K90" s="3"/>
      <c r="L90" s="52"/>
      <c r="M90" s="3"/>
      <c r="N90" s="3"/>
      <c r="O90" s="3"/>
      <c r="P90" s="3"/>
      <c r="Q90" s="4">
        <f>POWER(10,-3)</f>
        <v>1E-3</v>
      </c>
      <c r="U90" s="3" t="s">
        <v>85</v>
      </c>
      <c r="W90" s="3" t="s">
        <v>211</v>
      </c>
    </row>
    <row r="91" spans="3:25" x14ac:dyDescent="0.35">
      <c r="C91" s="3">
        <v>1</v>
      </c>
      <c r="D91" s="3" t="s">
        <v>196</v>
      </c>
      <c r="E91" s="3" t="s">
        <v>206</v>
      </c>
      <c r="F91" s="3" t="s">
        <v>131</v>
      </c>
      <c r="G91" s="52"/>
      <c r="H91" s="3"/>
      <c r="I91" s="3"/>
      <c r="J91" s="3"/>
      <c r="K91" s="3"/>
      <c r="L91" s="52"/>
      <c r="M91" s="3"/>
      <c r="N91" s="3"/>
      <c r="O91" s="3"/>
      <c r="P91" s="3"/>
      <c r="Q91" s="4">
        <v>1000</v>
      </c>
      <c r="U91" s="3" t="s">
        <v>85</v>
      </c>
      <c r="W91" s="3" t="s">
        <v>211</v>
      </c>
    </row>
  </sheetData>
  <sortState xmlns:xlrd2="http://schemas.microsoft.com/office/spreadsheetml/2017/richdata2" ref="A4:Y94">
    <sortCondition descending="1" ref="C4:C94"/>
    <sortCondition ref="S4:S94"/>
  </sortState>
  <phoneticPr fontId="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441ED-6D3A-4906-9F45-A4C8C1C95009}">
  <dimension ref="A3:U48"/>
  <sheetViews>
    <sheetView workbookViewId="0">
      <selection activeCell="A8" sqref="A8"/>
    </sheetView>
  </sheetViews>
  <sheetFormatPr defaultRowHeight="14.5" x14ac:dyDescent="0.35"/>
  <cols>
    <col min="1" max="1" width="19.54296875" bestFit="1" customWidth="1"/>
    <col min="2" max="2" width="14.1796875" bestFit="1" customWidth="1"/>
    <col min="3" max="3" width="15.54296875" bestFit="1" customWidth="1"/>
  </cols>
  <sheetData>
    <row r="3" spans="1:7" x14ac:dyDescent="0.35">
      <c r="A3" s="90" t="s">
        <v>212</v>
      </c>
      <c r="B3" t="s">
        <v>213</v>
      </c>
      <c r="C3" t="s">
        <v>214</v>
      </c>
    </row>
    <row r="4" spans="1:7" x14ac:dyDescent="0.35">
      <c r="A4" s="39">
        <v>1</v>
      </c>
      <c r="B4">
        <v>1.4999999999999999E-7</v>
      </c>
      <c r="C4">
        <v>1E-4</v>
      </c>
    </row>
    <row r="5" spans="1:7" x14ac:dyDescent="0.35">
      <c r="A5" s="91" t="s">
        <v>196</v>
      </c>
      <c r="B5">
        <v>1.4999999999999999E-7</v>
      </c>
      <c r="C5">
        <v>1E-4</v>
      </c>
      <c r="E5" t="s">
        <v>196</v>
      </c>
      <c r="F5">
        <v>1.4999999999999999E-7</v>
      </c>
      <c r="G5">
        <v>1E-4</v>
      </c>
    </row>
    <row r="6" spans="1:7" x14ac:dyDescent="0.35">
      <c r="A6" s="39">
        <v>2</v>
      </c>
      <c r="B6">
        <v>3.9543161280887781E-9</v>
      </c>
      <c r="C6">
        <v>1E-4</v>
      </c>
      <c r="E6">
        <v>2</v>
      </c>
      <c r="F6">
        <v>3.9543161280887781E-9</v>
      </c>
      <c r="G6">
        <v>1E-4</v>
      </c>
    </row>
    <row r="7" spans="1:7" x14ac:dyDescent="0.35">
      <c r="A7" s="91" t="s">
        <v>173</v>
      </c>
      <c r="B7">
        <v>3.9543161280887781E-9</v>
      </c>
      <c r="C7">
        <v>1E-4</v>
      </c>
      <c r="E7" t="s">
        <v>173</v>
      </c>
      <c r="F7">
        <v>3.9543161280887781E-9</v>
      </c>
      <c r="G7">
        <v>1E-4</v>
      </c>
    </row>
    <row r="8" spans="1:7" x14ac:dyDescent="0.35">
      <c r="A8" s="39">
        <v>3</v>
      </c>
      <c r="B8">
        <v>8.0000000000000002E-13</v>
      </c>
      <c r="C8">
        <v>1.8801286659413292E-6</v>
      </c>
      <c r="E8">
        <v>3</v>
      </c>
      <c r="F8">
        <v>8.0000000000000002E-13</v>
      </c>
      <c r="G8">
        <v>1.8801286659413292E-6</v>
      </c>
    </row>
    <row r="9" spans="1:7" x14ac:dyDescent="0.35">
      <c r="A9" s="91" t="s">
        <v>133</v>
      </c>
      <c r="B9">
        <v>8.0000000000000002E-13</v>
      </c>
      <c r="C9">
        <v>1.8801286659413292E-6</v>
      </c>
      <c r="E9" t="s">
        <v>133</v>
      </c>
      <c r="F9">
        <v>8.0000000000000002E-13</v>
      </c>
      <c r="G9">
        <v>1.8801286659413292E-6</v>
      </c>
    </row>
    <row r="10" spans="1:7" x14ac:dyDescent="0.35">
      <c r="A10" s="39">
        <v>4</v>
      </c>
      <c r="B10">
        <v>5.0000000000000008E-15</v>
      </c>
      <c r="C10">
        <v>5.8600000000000003E-13</v>
      </c>
      <c r="E10">
        <v>4</v>
      </c>
      <c r="F10">
        <v>5.0000000000000008E-15</v>
      </c>
      <c r="G10">
        <v>5.8600000000000003E-13</v>
      </c>
    </row>
    <row r="11" spans="1:7" x14ac:dyDescent="0.35">
      <c r="A11" s="91" t="s">
        <v>80</v>
      </c>
      <c r="B11">
        <v>5.0000000000000008E-15</v>
      </c>
      <c r="C11">
        <v>5.8600000000000003E-13</v>
      </c>
      <c r="E11" t="s">
        <v>80</v>
      </c>
      <c r="F11">
        <v>5.0000000000000008E-15</v>
      </c>
      <c r="G11">
        <v>5.8600000000000003E-13</v>
      </c>
    </row>
    <row r="12" spans="1:7" x14ac:dyDescent="0.35">
      <c r="A12" s="39">
        <v>5</v>
      </c>
      <c r="B12">
        <v>2.0000000000000001E-17</v>
      </c>
      <c r="C12">
        <v>1.0000000000000001E-15</v>
      </c>
      <c r="E12">
        <v>5</v>
      </c>
      <c r="F12">
        <v>2.0000000000000001E-17</v>
      </c>
      <c r="G12">
        <v>1.0000000000000001E-15</v>
      </c>
    </row>
    <row r="13" spans="1:7" x14ac:dyDescent="0.35">
      <c r="A13" s="91" t="s">
        <v>44</v>
      </c>
      <c r="B13">
        <v>2.0000000000000001E-17</v>
      </c>
      <c r="C13">
        <v>1.0000000000000001E-15</v>
      </c>
      <c r="E13" t="s">
        <v>44</v>
      </c>
      <c r="F13">
        <v>2.0000000000000001E-17</v>
      </c>
      <c r="G13">
        <v>1.0000000000000001E-15</v>
      </c>
    </row>
    <row r="14" spans="1:7" x14ac:dyDescent="0.35">
      <c r="A14" s="39" t="s">
        <v>215</v>
      </c>
    </row>
    <row r="15" spans="1:7" x14ac:dyDescent="0.35">
      <c r="A15" s="91" t="s">
        <v>215</v>
      </c>
    </row>
    <row r="16" spans="1:7" x14ac:dyDescent="0.35">
      <c r="A16" s="39" t="s">
        <v>216</v>
      </c>
      <c r="B16">
        <v>2.0000000000000001E-17</v>
      </c>
      <c r="C16">
        <v>1E-4</v>
      </c>
    </row>
    <row r="48" spans="21:21" x14ac:dyDescent="0.35">
      <c r="U48"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D537-C953-45E5-9DDB-BCBDFD80D8FC}">
  <dimension ref="A1:AB48"/>
  <sheetViews>
    <sheetView workbookViewId="0">
      <selection activeCell="Z6" sqref="Z6"/>
    </sheetView>
  </sheetViews>
  <sheetFormatPr defaultRowHeight="14.5" x14ac:dyDescent="0.35"/>
  <cols>
    <col min="1" max="1" width="14.26953125" bestFit="1" customWidth="1"/>
    <col min="2" max="2" width="8.54296875" style="3" bestFit="1" customWidth="1"/>
    <col min="3" max="3" width="1.54296875" style="3" bestFit="1" customWidth="1"/>
    <col min="4" max="4" width="5.26953125" style="3" bestFit="1" customWidth="1"/>
    <col min="5" max="5" width="2.1796875" style="3" bestFit="1" customWidth="1"/>
    <col min="6" max="6" width="2.1796875" style="3" customWidth="1"/>
    <col min="7" max="7" width="8.54296875" style="3" bestFit="1" customWidth="1"/>
    <col min="8" max="8" width="1.54296875" style="3" bestFit="1" customWidth="1"/>
    <col min="9" max="9" width="22.453125" style="3" customWidth="1"/>
    <col min="10" max="10" width="2.1796875" style="3" bestFit="1" customWidth="1"/>
    <col min="11" max="11" width="2.1796875" style="3" customWidth="1"/>
    <col min="12" max="12" width="8.54296875" style="3" bestFit="1" customWidth="1"/>
    <col min="13" max="13" width="1.54296875" style="3" bestFit="1" customWidth="1"/>
    <col min="14" max="14" width="6.54296875" style="3" bestFit="1" customWidth="1"/>
    <col min="15" max="15" width="2.1796875" style="3" customWidth="1"/>
    <col min="16" max="16" width="1.81640625" style="3" customWidth="1"/>
    <col min="17" max="17" width="9" style="3" bestFit="1" customWidth="1"/>
    <col min="18" max="18" width="3.81640625" style="3" bestFit="1" customWidth="1"/>
    <col min="19" max="19" width="5.26953125" style="3" bestFit="1" customWidth="1"/>
    <col min="20" max="20" width="2.1796875" style="3" bestFit="1" customWidth="1"/>
    <col min="21" max="21" width="5.26953125" style="3" bestFit="1" customWidth="1"/>
    <col min="22" max="22" width="2.1796875" style="3" bestFit="1" customWidth="1"/>
    <col min="23" max="23" width="8.7265625" style="3"/>
    <col min="24" max="24" width="19.1796875" style="3" bestFit="1" customWidth="1"/>
    <col min="28" max="28" width="10.81640625" bestFit="1" customWidth="1"/>
  </cols>
  <sheetData>
    <row r="1" spans="1:28" x14ac:dyDescent="0.35">
      <c r="A1" t="s">
        <v>19</v>
      </c>
    </row>
    <row r="2" spans="1:28" x14ac:dyDescent="0.35">
      <c r="A2" t="s">
        <v>217</v>
      </c>
    </row>
    <row r="3" spans="1:28" x14ac:dyDescent="0.35">
      <c r="A3" s="5" t="s">
        <v>218</v>
      </c>
    </row>
    <row r="5" spans="1:28" s="22" customFormat="1" ht="24" x14ac:dyDescent="0.35">
      <c r="B5" s="155" t="s">
        <v>219</v>
      </c>
      <c r="C5" s="156"/>
      <c r="D5" s="156"/>
      <c r="E5" s="157"/>
      <c r="F5" s="23"/>
      <c r="G5" s="158" t="s">
        <v>220</v>
      </c>
      <c r="H5" s="159"/>
      <c r="I5" s="159"/>
      <c r="J5" s="160"/>
      <c r="K5" s="59"/>
      <c r="L5" s="155" t="s">
        <v>221</v>
      </c>
      <c r="M5" s="156"/>
      <c r="N5" s="156"/>
      <c r="O5" s="157"/>
      <c r="P5" s="23"/>
      <c r="Q5" s="155" t="s">
        <v>222</v>
      </c>
      <c r="R5" s="156"/>
      <c r="S5" s="156"/>
      <c r="T5" s="156"/>
      <c r="U5" s="156"/>
      <c r="V5" s="157"/>
      <c r="W5" s="23"/>
      <c r="X5" s="24" t="s">
        <v>223</v>
      </c>
      <c r="Z5" s="25" t="s">
        <v>224</v>
      </c>
      <c r="AA5" s="38" t="s">
        <v>225</v>
      </c>
    </row>
    <row r="6" spans="1:28" x14ac:dyDescent="0.35">
      <c r="B6" s="146"/>
      <c r="C6" s="147"/>
      <c r="D6" s="147"/>
      <c r="E6" s="148"/>
      <c r="G6" s="152"/>
      <c r="H6" s="153"/>
      <c r="I6" s="153"/>
      <c r="J6" s="154"/>
      <c r="K6" s="60"/>
      <c r="L6" s="146"/>
      <c r="M6" s="147"/>
      <c r="N6" s="147"/>
      <c r="O6" s="148"/>
      <c r="Q6" s="146"/>
      <c r="R6" s="147"/>
      <c r="S6" s="147"/>
      <c r="T6" s="147"/>
      <c r="U6" s="147"/>
      <c r="V6" s="148"/>
      <c r="X6" s="25"/>
      <c r="Z6" s="25">
        <v>0.02</v>
      </c>
      <c r="AA6" s="25">
        <f>LOG(Z6)</f>
        <v>-1.6989700043360187</v>
      </c>
      <c r="AB6" s="55"/>
    </row>
    <row r="7" spans="1:28" x14ac:dyDescent="0.35">
      <c r="A7" s="3"/>
      <c r="B7" s="25" t="s">
        <v>226</v>
      </c>
      <c r="C7" s="25" t="s">
        <v>227</v>
      </c>
      <c r="D7" s="25" t="s">
        <v>228</v>
      </c>
      <c r="E7" s="25" t="s">
        <v>229</v>
      </c>
      <c r="G7" s="27" t="s">
        <v>226</v>
      </c>
      <c r="H7" s="27" t="s">
        <v>227</v>
      </c>
      <c r="I7" s="47">
        <f>POWER(10,-3)</f>
        <v>1E-3</v>
      </c>
      <c r="J7" s="27" t="s">
        <v>229</v>
      </c>
      <c r="K7" s="60"/>
      <c r="L7" s="26" t="s">
        <v>226</v>
      </c>
      <c r="M7" s="26" t="s">
        <v>227</v>
      </c>
      <c r="N7" s="26">
        <f>POWER(10,-3)</f>
        <v>1E-3</v>
      </c>
      <c r="O7" s="26" t="s">
        <v>229</v>
      </c>
      <c r="Q7" s="25" t="s">
        <v>226</v>
      </c>
      <c r="R7" s="25" t="s">
        <v>230</v>
      </c>
      <c r="S7" s="25" t="s">
        <v>228</v>
      </c>
      <c r="T7" s="25" t="s">
        <v>231</v>
      </c>
      <c r="U7" s="25">
        <v>1</v>
      </c>
      <c r="V7" s="25" t="s">
        <v>229</v>
      </c>
      <c r="X7" s="25">
        <f>LOG(I7)</f>
        <v>-3</v>
      </c>
      <c r="Z7" s="25">
        <v>0.2</v>
      </c>
      <c r="AA7" s="25">
        <f t="shared" ref="AA7:AA19" si="0">LOG(Z7)</f>
        <v>-0.69897000433601875</v>
      </c>
      <c r="AB7" s="55"/>
    </row>
    <row r="8" spans="1:28" x14ac:dyDescent="0.35">
      <c r="A8" s="3"/>
      <c r="B8" s="25" t="s">
        <v>232</v>
      </c>
      <c r="C8" s="25" t="s">
        <v>227</v>
      </c>
      <c r="D8" s="25" t="s">
        <v>233</v>
      </c>
      <c r="E8" s="25" t="s">
        <v>229</v>
      </c>
      <c r="G8" s="27" t="s">
        <v>232</v>
      </c>
      <c r="H8" s="27" t="s">
        <v>227</v>
      </c>
      <c r="I8" s="46">
        <f>I7/1000</f>
        <v>9.9999999999999995E-7</v>
      </c>
      <c r="J8" s="27" t="s">
        <v>229</v>
      </c>
      <c r="K8" s="60"/>
      <c r="L8" s="26" t="s">
        <v>232</v>
      </c>
      <c r="M8" s="26" t="s">
        <v>227</v>
      </c>
      <c r="N8" s="26">
        <f>N7/1000</f>
        <v>9.9999999999999995E-7</v>
      </c>
      <c r="O8" s="26" t="s">
        <v>229</v>
      </c>
      <c r="Q8" s="25" t="s">
        <v>232</v>
      </c>
      <c r="R8" s="25" t="s">
        <v>230</v>
      </c>
      <c r="S8" s="25" t="s">
        <v>233</v>
      </c>
      <c r="T8" s="25" t="s">
        <v>231</v>
      </c>
      <c r="U8" s="25" t="s">
        <v>228</v>
      </c>
      <c r="V8" s="25" t="s">
        <v>229</v>
      </c>
      <c r="X8" s="25">
        <f t="shared" ref="X8:X13" si="1">LOG(I8)</f>
        <v>-6</v>
      </c>
      <c r="Z8" s="25">
        <v>2</v>
      </c>
      <c r="AA8" s="25">
        <f t="shared" si="0"/>
        <v>0.3010299956639812</v>
      </c>
      <c r="AB8" s="55"/>
    </row>
    <row r="9" spans="1:28" x14ac:dyDescent="0.35">
      <c r="A9" s="3"/>
      <c r="B9" s="25" t="s">
        <v>234</v>
      </c>
      <c r="C9" s="25" t="s">
        <v>227</v>
      </c>
      <c r="D9" s="25" t="s">
        <v>235</v>
      </c>
      <c r="E9" s="25" t="s">
        <v>229</v>
      </c>
      <c r="G9" s="27" t="s">
        <v>234</v>
      </c>
      <c r="H9" s="27" t="s">
        <v>227</v>
      </c>
      <c r="I9" s="45">
        <f t="shared" ref="I9:I14" si="2">I8/1000</f>
        <v>9.9999999999999986E-10</v>
      </c>
      <c r="J9" s="27" t="s">
        <v>229</v>
      </c>
      <c r="K9" s="60"/>
      <c r="L9" s="26" t="s">
        <v>234</v>
      </c>
      <c r="M9" s="26" t="s">
        <v>227</v>
      </c>
      <c r="N9" s="26">
        <f t="shared" ref="N9:N14" si="3">N8/1000</f>
        <v>9.9999999999999986E-10</v>
      </c>
      <c r="O9" s="26" t="s">
        <v>229</v>
      </c>
      <c r="Q9" s="25" t="s">
        <v>234</v>
      </c>
      <c r="R9" s="25" t="s">
        <v>230</v>
      </c>
      <c r="S9" s="25" t="s">
        <v>235</v>
      </c>
      <c r="T9" s="25" t="s">
        <v>231</v>
      </c>
      <c r="U9" s="25" t="s">
        <v>233</v>
      </c>
      <c r="V9" s="25" t="s">
        <v>229</v>
      </c>
      <c r="X9" s="25">
        <f t="shared" si="1"/>
        <v>-9</v>
      </c>
      <c r="Z9" s="25">
        <v>20</v>
      </c>
      <c r="AA9" s="25">
        <f t="shared" si="0"/>
        <v>1.3010299956639813</v>
      </c>
      <c r="AB9" s="55"/>
    </row>
    <row r="10" spans="1:28" x14ac:dyDescent="0.35">
      <c r="A10" s="3"/>
      <c r="B10" s="25" t="s">
        <v>236</v>
      </c>
      <c r="C10" s="25" t="s">
        <v>227</v>
      </c>
      <c r="D10" s="25" t="s">
        <v>237</v>
      </c>
      <c r="E10" s="25" t="s">
        <v>229</v>
      </c>
      <c r="G10" s="27" t="s">
        <v>236</v>
      </c>
      <c r="H10" s="27" t="s">
        <v>227</v>
      </c>
      <c r="I10" s="44">
        <f t="shared" si="2"/>
        <v>9.9999999999999978E-13</v>
      </c>
      <c r="J10" s="27" t="s">
        <v>229</v>
      </c>
      <c r="K10" s="60"/>
      <c r="L10" s="26" t="s">
        <v>236</v>
      </c>
      <c r="M10" s="26" t="s">
        <v>227</v>
      </c>
      <c r="N10" s="26">
        <f t="shared" si="3"/>
        <v>9.9999999999999978E-13</v>
      </c>
      <c r="O10" s="26" t="s">
        <v>229</v>
      </c>
      <c r="Q10" s="25" t="s">
        <v>236</v>
      </c>
      <c r="R10" s="25" t="s">
        <v>230</v>
      </c>
      <c r="S10" s="25" t="s">
        <v>237</v>
      </c>
      <c r="T10" s="25" t="s">
        <v>231</v>
      </c>
      <c r="U10" s="25" t="s">
        <v>235</v>
      </c>
      <c r="V10" s="25" t="s">
        <v>229</v>
      </c>
      <c r="X10" s="25">
        <f t="shared" si="1"/>
        <v>-12</v>
      </c>
      <c r="Z10" s="25">
        <v>200</v>
      </c>
      <c r="AA10" s="25">
        <f t="shared" si="0"/>
        <v>2.3010299956639813</v>
      </c>
      <c r="AB10" s="55"/>
    </row>
    <row r="11" spans="1:28" x14ac:dyDescent="0.35">
      <c r="A11" s="3"/>
      <c r="B11" s="25" t="s">
        <v>238</v>
      </c>
      <c r="C11" s="25" t="s">
        <v>227</v>
      </c>
      <c r="D11" s="25" t="s">
        <v>239</v>
      </c>
      <c r="E11" s="25" t="s">
        <v>229</v>
      </c>
      <c r="G11" s="27" t="s">
        <v>238</v>
      </c>
      <c r="H11" s="27" t="s">
        <v>227</v>
      </c>
      <c r="I11" s="43">
        <f t="shared" si="2"/>
        <v>9.9999999999999968E-16</v>
      </c>
      <c r="J11" s="27" t="s">
        <v>229</v>
      </c>
      <c r="K11" s="60"/>
      <c r="L11" s="26" t="s">
        <v>238</v>
      </c>
      <c r="M11" s="26" t="s">
        <v>227</v>
      </c>
      <c r="N11" s="26">
        <f t="shared" si="3"/>
        <v>9.9999999999999968E-16</v>
      </c>
      <c r="O11" s="26" t="s">
        <v>229</v>
      </c>
      <c r="Q11" s="25" t="s">
        <v>238</v>
      </c>
      <c r="R11" s="25" t="s">
        <v>230</v>
      </c>
      <c r="S11" s="25" t="s">
        <v>239</v>
      </c>
      <c r="T11" s="25" t="s">
        <v>231</v>
      </c>
      <c r="U11" s="25" t="s">
        <v>237</v>
      </c>
      <c r="V11" s="25" t="s">
        <v>229</v>
      </c>
      <c r="X11" s="25">
        <f t="shared" si="1"/>
        <v>-15</v>
      </c>
      <c r="Z11" s="25">
        <v>2000</v>
      </c>
      <c r="AA11" s="25">
        <f t="shared" si="0"/>
        <v>3.3010299956639813</v>
      </c>
      <c r="AB11" s="55"/>
    </row>
    <row r="12" spans="1:28" x14ac:dyDescent="0.35">
      <c r="A12" s="3"/>
      <c r="B12" s="25" t="s">
        <v>240</v>
      </c>
      <c r="C12" s="25" t="s">
        <v>227</v>
      </c>
      <c r="D12" s="25" t="s">
        <v>241</v>
      </c>
      <c r="E12" s="25" t="s">
        <v>229</v>
      </c>
      <c r="G12" s="27" t="s">
        <v>240</v>
      </c>
      <c r="H12" s="27" t="s">
        <v>227</v>
      </c>
      <c r="I12" s="42">
        <f t="shared" si="2"/>
        <v>9.9999999999999969E-19</v>
      </c>
      <c r="J12" s="27" t="s">
        <v>229</v>
      </c>
      <c r="K12" s="60"/>
      <c r="L12" s="26" t="s">
        <v>240</v>
      </c>
      <c r="M12" s="26" t="s">
        <v>227</v>
      </c>
      <c r="N12" s="26">
        <f t="shared" si="3"/>
        <v>9.9999999999999969E-19</v>
      </c>
      <c r="O12" s="26" t="s">
        <v>229</v>
      </c>
      <c r="Q12" s="25" t="s">
        <v>240</v>
      </c>
      <c r="R12" s="25" t="s">
        <v>230</v>
      </c>
      <c r="S12" s="25" t="s">
        <v>241</v>
      </c>
      <c r="T12" s="25" t="s">
        <v>231</v>
      </c>
      <c r="U12" s="25" t="s">
        <v>239</v>
      </c>
      <c r="V12" s="25" t="s">
        <v>229</v>
      </c>
      <c r="X12" s="25">
        <f t="shared" si="1"/>
        <v>-18</v>
      </c>
      <c r="Z12" s="25">
        <v>1</v>
      </c>
      <c r="AA12" s="25">
        <f t="shared" si="0"/>
        <v>0</v>
      </c>
    </row>
    <row r="13" spans="1:28" x14ac:dyDescent="0.35">
      <c r="A13" s="3"/>
      <c r="B13" s="25" t="s">
        <v>242</v>
      </c>
      <c r="C13" s="25" t="s">
        <v>227</v>
      </c>
      <c r="D13" s="25" t="s">
        <v>243</v>
      </c>
      <c r="E13" s="25" t="s">
        <v>229</v>
      </c>
      <c r="G13" s="27" t="s">
        <v>242</v>
      </c>
      <c r="H13" s="27" t="s">
        <v>227</v>
      </c>
      <c r="I13" s="27">
        <f t="shared" si="2"/>
        <v>9.9999999999999972E-22</v>
      </c>
      <c r="J13" s="27" t="s">
        <v>229</v>
      </c>
      <c r="K13" s="60"/>
      <c r="L13" s="26" t="s">
        <v>242</v>
      </c>
      <c r="M13" s="26" t="s">
        <v>227</v>
      </c>
      <c r="N13" s="26">
        <f t="shared" si="3"/>
        <v>9.9999999999999972E-22</v>
      </c>
      <c r="O13" s="26" t="s">
        <v>229</v>
      </c>
      <c r="Q13" s="25" t="s">
        <v>242</v>
      </c>
      <c r="R13" s="25" t="s">
        <v>230</v>
      </c>
      <c r="S13" s="25" t="s">
        <v>243</v>
      </c>
      <c r="T13" s="25" t="s">
        <v>231</v>
      </c>
      <c r="U13" s="25" t="s">
        <v>241</v>
      </c>
      <c r="V13" s="25" t="s">
        <v>229</v>
      </c>
      <c r="X13" s="25">
        <f t="shared" si="1"/>
        <v>-21</v>
      </c>
      <c r="Z13" s="25">
        <v>2</v>
      </c>
      <c r="AA13" s="25">
        <f t="shared" si="0"/>
        <v>0.3010299956639812</v>
      </c>
    </row>
    <row r="14" spans="1:28" x14ac:dyDescent="0.35">
      <c r="A14" s="3"/>
      <c r="B14" s="38" t="s">
        <v>244</v>
      </c>
      <c r="C14" s="25" t="s">
        <v>227</v>
      </c>
      <c r="D14" s="25" t="s">
        <v>245</v>
      </c>
      <c r="E14" s="25" t="s">
        <v>229</v>
      </c>
      <c r="G14" s="26" t="s">
        <v>244</v>
      </c>
      <c r="H14" s="27" t="s">
        <v>227</v>
      </c>
      <c r="I14" s="56">
        <f t="shared" si="2"/>
        <v>9.9999999999999974E-25</v>
      </c>
      <c r="J14" s="27" t="s">
        <v>229</v>
      </c>
      <c r="K14" s="60"/>
      <c r="L14" s="26" t="s">
        <v>244</v>
      </c>
      <c r="M14" s="26" t="s">
        <v>227</v>
      </c>
      <c r="N14" s="26">
        <f t="shared" si="3"/>
        <v>9.9999999999999974E-25</v>
      </c>
      <c r="O14" s="26" t="s">
        <v>229</v>
      </c>
      <c r="Q14" s="26" t="s">
        <v>244</v>
      </c>
      <c r="R14" s="25" t="s">
        <v>230</v>
      </c>
      <c r="S14" s="25" t="s">
        <v>246</v>
      </c>
      <c r="T14" s="25" t="s">
        <v>231</v>
      </c>
      <c r="U14" s="25" t="s">
        <v>247</v>
      </c>
      <c r="V14" s="25" t="s">
        <v>229</v>
      </c>
      <c r="X14" s="25">
        <v>-24</v>
      </c>
      <c r="Z14" s="25">
        <v>3</v>
      </c>
      <c r="AA14" s="25">
        <f t="shared" si="0"/>
        <v>0.47712125471966244</v>
      </c>
    </row>
    <row r="15" spans="1:28" x14ac:dyDescent="0.35">
      <c r="A15" s="3"/>
      <c r="B15" s="146"/>
      <c r="C15" s="147"/>
      <c r="D15" s="147"/>
      <c r="E15" s="148"/>
      <c r="G15" s="152"/>
      <c r="H15" s="153"/>
      <c r="I15" s="153"/>
      <c r="J15" s="154"/>
      <c r="K15" s="60"/>
      <c r="L15" s="149"/>
      <c r="M15" s="150"/>
      <c r="N15" s="150"/>
      <c r="O15" s="151"/>
      <c r="Q15" s="146"/>
      <c r="R15" s="147"/>
      <c r="S15" s="147"/>
      <c r="T15" s="147"/>
      <c r="U15" s="147"/>
      <c r="V15" s="148"/>
      <c r="X15" s="25"/>
      <c r="Z15" s="25">
        <v>10</v>
      </c>
      <c r="AA15" s="25">
        <f t="shared" si="0"/>
        <v>1</v>
      </c>
    </row>
    <row r="16" spans="1:28" x14ac:dyDescent="0.35">
      <c r="A16" s="3"/>
      <c r="B16" s="25" t="s">
        <v>248</v>
      </c>
      <c r="C16" s="25" t="s">
        <v>227</v>
      </c>
      <c r="D16" s="25" t="s">
        <v>249</v>
      </c>
      <c r="E16" s="25" t="s">
        <v>250</v>
      </c>
      <c r="G16" s="25" t="s">
        <v>248</v>
      </c>
      <c r="H16" s="25" t="s">
        <v>227</v>
      </c>
      <c r="I16" s="25">
        <v>0.01</v>
      </c>
      <c r="J16" s="25" t="s">
        <v>250</v>
      </c>
      <c r="L16" s="25" t="s">
        <v>248</v>
      </c>
      <c r="M16" s="25" t="s">
        <v>227</v>
      </c>
      <c r="N16" s="26">
        <v>0.01</v>
      </c>
      <c r="O16" s="25" t="s">
        <v>250</v>
      </c>
      <c r="Q16" s="25" t="s">
        <v>248</v>
      </c>
      <c r="R16" s="25" t="s">
        <v>230</v>
      </c>
      <c r="S16" s="25">
        <v>0.01</v>
      </c>
      <c r="T16" s="25" t="s">
        <v>231</v>
      </c>
      <c r="U16" s="25">
        <v>1</v>
      </c>
      <c r="V16" s="25" t="s">
        <v>250</v>
      </c>
      <c r="X16" s="25">
        <f>LOG(I16)</f>
        <v>-2</v>
      </c>
      <c r="Z16" s="25">
        <v>100</v>
      </c>
      <c r="AA16" s="25">
        <f t="shared" si="0"/>
        <v>2</v>
      </c>
    </row>
    <row r="17" spans="1:27" x14ac:dyDescent="0.35">
      <c r="A17" s="3"/>
      <c r="B17" s="25" t="s">
        <v>251</v>
      </c>
      <c r="C17" s="25" t="s">
        <v>227</v>
      </c>
      <c r="D17" s="25" t="s">
        <v>228</v>
      </c>
      <c r="E17" s="25" t="s">
        <v>250</v>
      </c>
      <c r="G17" s="27" t="s">
        <v>251</v>
      </c>
      <c r="H17" s="27" t="s">
        <v>227</v>
      </c>
      <c r="I17" s="47">
        <f>POWER(10,-3)</f>
        <v>1E-3</v>
      </c>
      <c r="J17" s="27" t="s">
        <v>250</v>
      </c>
      <c r="K17" s="60"/>
      <c r="L17" s="26" t="s">
        <v>251</v>
      </c>
      <c r="M17" s="26" t="s">
        <v>227</v>
      </c>
      <c r="N17" s="26">
        <f>POWER(10,-3)</f>
        <v>1E-3</v>
      </c>
      <c r="O17" s="26" t="s">
        <v>250</v>
      </c>
      <c r="Q17" s="25" t="s">
        <v>251</v>
      </c>
      <c r="R17" s="25" t="s">
        <v>230</v>
      </c>
      <c r="S17" s="25" t="s">
        <v>228</v>
      </c>
      <c r="T17" s="25" t="s">
        <v>231</v>
      </c>
      <c r="U17" s="25">
        <v>0.01</v>
      </c>
      <c r="V17" s="25" t="s">
        <v>250</v>
      </c>
      <c r="X17" s="25">
        <f t="shared" ref="X17:X19" si="4">LOG(I17)</f>
        <v>-3</v>
      </c>
      <c r="Z17" s="25">
        <v>1000</v>
      </c>
      <c r="AA17" s="25">
        <f t="shared" si="0"/>
        <v>3</v>
      </c>
    </row>
    <row r="18" spans="1:27" x14ac:dyDescent="0.35">
      <c r="A18" s="3"/>
      <c r="B18" s="25" t="s">
        <v>252</v>
      </c>
      <c r="C18" s="25" t="s">
        <v>227</v>
      </c>
      <c r="D18" s="25" t="s">
        <v>233</v>
      </c>
      <c r="E18" s="25" t="s">
        <v>250</v>
      </c>
      <c r="G18" s="27" t="s">
        <v>252</v>
      </c>
      <c r="H18" s="27" t="s">
        <v>227</v>
      </c>
      <c r="I18" s="46">
        <f>I17/1000</f>
        <v>9.9999999999999995E-7</v>
      </c>
      <c r="J18" s="27" t="s">
        <v>250</v>
      </c>
      <c r="K18" s="60"/>
      <c r="L18" s="26" t="s">
        <v>252</v>
      </c>
      <c r="M18" s="26" t="s">
        <v>227</v>
      </c>
      <c r="N18" s="26">
        <f>N17/1000</f>
        <v>9.9999999999999995E-7</v>
      </c>
      <c r="O18" s="26" t="s">
        <v>250</v>
      </c>
      <c r="Q18" s="25" t="s">
        <v>252</v>
      </c>
      <c r="R18" s="25" t="s">
        <v>230</v>
      </c>
      <c r="S18" s="25" t="s">
        <v>233</v>
      </c>
      <c r="T18" s="25" t="s">
        <v>231</v>
      </c>
      <c r="U18" s="25" t="s">
        <v>228</v>
      </c>
      <c r="V18" s="25" t="s">
        <v>250</v>
      </c>
      <c r="X18" s="25">
        <f t="shared" si="4"/>
        <v>-6</v>
      </c>
      <c r="Z18" s="25">
        <v>10000</v>
      </c>
      <c r="AA18" s="25">
        <f t="shared" si="0"/>
        <v>4</v>
      </c>
    </row>
    <row r="19" spans="1:27" x14ac:dyDescent="0.35">
      <c r="A19" s="3"/>
      <c r="B19" s="25" t="s">
        <v>253</v>
      </c>
      <c r="C19" s="25" t="s">
        <v>227</v>
      </c>
      <c r="D19" s="25" t="s">
        <v>235</v>
      </c>
      <c r="E19" s="25" t="s">
        <v>250</v>
      </c>
      <c r="G19" s="27" t="s">
        <v>253</v>
      </c>
      <c r="H19" s="27" t="s">
        <v>227</v>
      </c>
      <c r="I19" s="45">
        <f t="shared" ref="I19" si="5">I18/1000</f>
        <v>9.9999999999999986E-10</v>
      </c>
      <c r="J19" s="27" t="s">
        <v>250</v>
      </c>
      <c r="K19" s="60"/>
      <c r="L19" s="26" t="s">
        <v>253</v>
      </c>
      <c r="M19" s="26" t="s">
        <v>227</v>
      </c>
      <c r="N19" s="26">
        <f t="shared" ref="N19" si="6">N18/1000</f>
        <v>9.9999999999999986E-10</v>
      </c>
      <c r="O19" s="26" t="s">
        <v>250</v>
      </c>
      <c r="Q19" s="25" t="s">
        <v>253</v>
      </c>
      <c r="R19" s="25" t="s">
        <v>230</v>
      </c>
      <c r="S19" s="25" t="s">
        <v>235</v>
      </c>
      <c r="T19" s="25" t="s">
        <v>231</v>
      </c>
      <c r="U19" s="25" t="s">
        <v>233</v>
      </c>
      <c r="V19" s="25" t="s">
        <v>250</v>
      </c>
      <c r="X19" s="25">
        <f t="shared" si="4"/>
        <v>-9</v>
      </c>
      <c r="Z19" s="25">
        <v>100000</v>
      </c>
      <c r="AA19" s="25">
        <f t="shared" si="0"/>
        <v>5</v>
      </c>
    </row>
    <row r="21" spans="1:27" x14ac:dyDescent="0.35">
      <c r="Q21" s="3">
        <f>0.02/1000/1000/1000/1000/1000</f>
        <v>2.0000000000000005E-17</v>
      </c>
    </row>
    <row r="22" spans="1:27" x14ac:dyDescent="0.35">
      <c r="X22"/>
    </row>
    <row r="23" spans="1:27" x14ac:dyDescent="0.35">
      <c r="X23"/>
    </row>
    <row r="24" spans="1:27" x14ac:dyDescent="0.35">
      <c r="A24" s="3"/>
      <c r="X24"/>
    </row>
    <row r="25" spans="1:27" x14ac:dyDescent="0.35">
      <c r="A25" s="3"/>
      <c r="X25"/>
    </row>
    <row r="26" spans="1:27" x14ac:dyDescent="0.35">
      <c r="A26" s="3"/>
      <c r="X26"/>
    </row>
    <row r="27" spans="1:27" x14ac:dyDescent="0.35">
      <c r="A27" s="3"/>
      <c r="X27"/>
    </row>
    <row r="28" spans="1:27" x14ac:dyDescent="0.35">
      <c r="A28" s="3"/>
      <c r="X28"/>
    </row>
    <row r="29" spans="1:27" x14ac:dyDescent="0.35">
      <c r="A29" s="28"/>
      <c r="X29"/>
    </row>
    <row r="30" spans="1:27" x14ac:dyDescent="0.35">
      <c r="A30" s="3"/>
      <c r="X30"/>
    </row>
    <row r="31" spans="1:27" x14ac:dyDescent="0.35">
      <c r="A31" s="3"/>
      <c r="X31"/>
    </row>
    <row r="32" spans="1:27" x14ac:dyDescent="0.35">
      <c r="A32" s="3"/>
      <c r="X32"/>
    </row>
    <row r="33" spans="1:27" x14ac:dyDescent="0.35">
      <c r="A33" s="3"/>
      <c r="X33"/>
    </row>
    <row r="48" spans="1:27" x14ac:dyDescent="0.35">
      <c r="AA48" t="s">
        <v>18</v>
      </c>
    </row>
  </sheetData>
  <mergeCells count="12">
    <mergeCell ref="B15:E15"/>
    <mergeCell ref="L15:O15"/>
    <mergeCell ref="G15:J15"/>
    <mergeCell ref="Q15:V15"/>
    <mergeCell ref="B5:E5"/>
    <mergeCell ref="L5:O5"/>
    <mergeCell ref="G5:J5"/>
    <mergeCell ref="Q5:V5"/>
    <mergeCell ref="B6:E6"/>
    <mergeCell ref="L6:O6"/>
    <mergeCell ref="G6:J6"/>
    <mergeCell ref="Q6:V6"/>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7D53F-25AF-450D-8DF7-A35ED7F5EBFE}">
  <dimension ref="A1:AH48"/>
  <sheetViews>
    <sheetView topLeftCell="D1" workbookViewId="0">
      <selection activeCell="X16" sqref="X16"/>
    </sheetView>
  </sheetViews>
  <sheetFormatPr defaultRowHeight="14.5" x14ac:dyDescent="0.35"/>
  <cols>
    <col min="1" max="1" width="11" style="1" bestFit="1" customWidth="1"/>
    <col min="2" max="2" width="2.1796875" style="3" customWidth="1"/>
    <col min="3" max="3" width="4.1796875" style="3" bestFit="1" customWidth="1"/>
    <col min="4" max="4" width="13" style="3" bestFit="1" customWidth="1"/>
    <col min="5" max="6" width="1.54296875" style="3" bestFit="1" customWidth="1"/>
    <col min="7" max="7" width="2.453125" style="3" bestFit="1" customWidth="1"/>
    <col min="8" max="8" width="7.453125" style="3" bestFit="1" customWidth="1"/>
    <col min="9" max="9" width="1.54296875" style="3" bestFit="1" customWidth="1"/>
    <col min="10" max="10" width="6.54296875" style="3" bestFit="1" customWidth="1"/>
    <col min="11" max="11" width="2.453125" style="3" bestFit="1" customWidth="1"/>
    <col min="12" max="12" width="1.54296875" style="3" bestFit="1" customWidth="1"/>
    <col min="13" max="13" width="6.54296875" style="4" bestFit="1" customWidth="1"/>
    <col min="14" max="14" width="1.54296875" style="3" bestFit="1" customWidth="1"/>
    <col min="15" max="15" width="1.54296875" style="3" customWidth="1"/>
    <col min="16" max="16" width="2.1796875" style="5" customWidth="1"/>
    <col min="17" max="17" width="2.81640625" style="5" bestFit="1" customWidth="1"/>
    <col min="18" max="18" width="7.453125" style="5" bestFit="1" customWidth="1"/>
    <col min="19" max="20" width="1.54296875" style="5" bestFit="1" customWidth="1"/>
    <col min="21" max="21" width="2.81640625" style="5" bestFit="1" customWidth="1"/>
    <col min="22" max="22" width="8" style="5" bestFit="1" customWidth="1"/>
    <col min="23" max="23" width="1.54296875" style="5" bestFit="1" customWidth="1"/>
    <col min="24" max="24" width="6.54296875" style="5" bestFit="1" customWidth="1"/>
    <col min="25" max="26" width="1.54296875" style="5" bestFit="1" customWidth="1"/>
    <col min="27" max="27" width="5.26953125" style="5" bestFit="1" customWidth="1"/>
    <col min="28" max="28" width="2.26953125" bestFit="1" customWidth="1"/>
    <col min="29" max="29" width="1.453125" customWidth="1"/>
    <col min="30" max="30" width="45" bestFit="1" customWidth="1"/>
    <col min="31" max="31" width="1.453125" customWidth="1"/>
    <col min="32" max="32" width="25.453125" bestFit="1" customWidth="1"/>
  </cols>
  <sheetData>
    <row r="1" spans="1:34" x14ac:dyDescent="0.35">
      <c r="A1" s="1" t="s">
        <v>19</v>
      </c>
    </row>
    <row r="2" spans="1:34" x14ac:dyDescent="0.35">
      <c r="A2" s="1" t="s">
        <v>254</v>
      </c>
    </row>
    <row r="3" spans="1:34" x14ac:dyDescent="0.35">
      <c r="B3" s="19" t="s">
        <v>255</v>
      </c>
      <c r="C3" s="20"/>
      <c r="D3" s="20"/>
      <c r="E3" s="20"/>
      <c r="F3" s="20"/>
      <c r="G3" s="20"/>
      <c r="H3" s="20"/>
      <c r="I3" s="20"/>
      <c r="J3" s="20"/>
      <c r="K3" s="20"/>
      <c r="L3" s="20"/>
      <c r="M3" s="21"/>
      <c r="N3" s="20"/>
      <c r="P3" s="19" t="s">
        <v>256</v>
      </c>
      <c r="Q3" s="18"/>
      <c r="R3" s="18"/>
      <c r="S3" s="18"/>
      <c r="T3" s="18"/>
      <c r="U3" s="18"/>
      <c r="V3" s="18"/>
      <c r="W3" s="18"/>
      <c r="X3" s="18"/>
      <c r="Y3" s="18"/>
      <c r="Z3" s="18"/>
      <c r="AA3" s="18"/>
      <c r="AB3" s="17"/>
      <c r="AD3" s="19" t="s">
        <v>257</v>
      </c>
      <c r="AF3" s="24" t="s">
        <v>258</v>
      </c>
    </row>
    <row r="4" spans="1:34" x14ac:dyDescent="0.35">
      <c r="B4" s="14">
        <v>1</v>
      </c>
      <c r="C4" s="14" t="s">
        <v>259</v>
      </c>
      <c r="D4" s="14" t="s">
        <v>260</v>
      </c>
      <c r="E4" s="15" t="s">
        <v>227</v>
      </c>
      <c r="F4" s="14">
        <v>1</v>
      </c>
      <c r="G4" s="14" t="s">
        <v>261</v>
      </c>
      <c r="H4" s="14" t="s">
        <v>262</v>
      </c>
      <c r="I4" s="15" t="s">
        <v>227</v>
      </c>
      <c r="J4" s="14">
        <v>1</v>
      </c>
      <c r="K4" s="14" t="s">
        <v>261</v>
      </c>
      <c r="L4" s="15" t="s">
        <v>227</v>
      </c>
      <c r="M4" s="16">
        <f>POWER(10,-3)</f>
        <v>1E-3</v>
      </c>
      <c r="N4" s="14" t="s">
        <v>263</v>
      </c>
      <c r="P4" s="14">
        <v>1</v>
      </c>
      <c r="Q4" s="14" t="s">
        <v>264</v>
      </c>
      <c r="R4" s="14" t="s">
        <v>262</v>
      </c>
      <c r="S4" s="15" t="s">
        <v>227</v>
      </c>
      <c r="T4" s="14">
        <v>1</v>
      </c>
      <c r="U4" s="14" t="s">
        <v>229</v>
      </c>
      <c r="V4" s="14" t="s">
        <v>265</v>
      </c>
      <c r="W4" s="15" t="s">
        <v>227</v>
      </c>
      <c r="X4" s="14">
        <v>1</v>
      </c>
      <c r="Y4" s="14" t="s">
        <v>229</v>
      </c>
      <c r="Z4" s="15" t="s">
        <v>227</v>
      </c>
      <c r="AA4" s="14" t="s">
        <v>228</v>
      </c>
      <c r="AB4" s="14" t="s">
        <v>266</v>
      </c>
      <c r="AD4" s="57" t="s">
        <v>267</v>
      </c>
      <c r="AE4" s="3"/>
      <c r="AF4" s="41"/>
    </row>
    <row r="5" spans="1:34" ht="15.5" x14ac:dyDescent="0.35">
      <c r="A5" s="13"/>
      <c r="B5" s="3">
        <v>1</v>
      </c>
      <c r="C5" s="3" t="s">
        <v>268</v>
      </c>
      <c r="D5" s="3" t="s">
        <v>269</v>
      </c>
      <c r="E5" s="9" t="s">
        <v>227</v>
      </c>
      <c r="F5" s="3">
        <v>1</v>
      </c>
      <c r="G5" s="3" t="s">
        <v>270</v>
      </c>
      <c r="H5" s="3" t="s">
        <v>271</v>
      </c>
      <c r="I5" s="9" t="s">
        <v>227</v>
      </c>
      <c r="J5" s="4">
        <f>M5*1000</f>
        <v>1E-3</v>
      </c>
      <c r="K5" s="3" t="s">
        <v>261</v>
      </c>
      <c r="L5" s="9" t="s">
        <v>227</v>
      </c>
      <c r="M5" s="4">
        <f>POWER(10,-6)</f>
        <v>9.9999999999999995E-7</v>
      </c>
      <c r="N5" s="3" t="s">
        <v>263</v>
      </c>
      <c r="P5" s="3">
        <v>1</v>
      </c>
      <c r="Q5" s="3" t="s">
        <v>270</v>
      </c>
      <c r="R5" s="3" t="s">
        <v>271</v>
      </c>
      <c r="S5" s="9" t="s">
        <v>227</v>
      </c>
      <c r="T5" s="3">
        <v>1</v>
      </c>
      <c r="U5" s="3" t="s">
        <v>272</v>
      </c>
      <c r="V5" s="3" t="s">
        <v>226</v>
      </c>
      <c r="W5" s="9" t="s">
        <v>227</v>
      </c>
      <c r="X5" s="3" t="s">
        <v>228</v>
      </c>
      <c r="Y5" s="3" t="s">
        <v>229</v>
      </c>
      <c r="Z5" s="9" t="s">
        <v>227</v>
      </c>
      <c r="AA5" s="3" t="s">
        <v>233</v>
      </c>
      <c r="AB5" s="3" t="s">
        <v>266</v>
      </c>
      <c r="AD5" s="5" t="s">
        <v>273</v>
      </c>
      <c r="AE5" s="3"/>
      <c r="AF5" s="25" t="s">
        <v>274</v>
      </c>
    </row>
    <row r="6" spans="1:34" ht="15.5" x14ac:dyDescent="0.35">
      <c r="A6" s="13"/>
      <c r="P6" s="3">
        <v>1</v>
      </c>
      <c r="Q6" s="3" t="s">
        <v>275</v>
      </c>
      <c r="R6" s="3" t="s">
        <v>276</v>
      </c>
      <c r="S6" s="9" t="s">
        <v>227</v>
      </c>
      <c r="T6" s="3">
        <v>1</v>
      </c>
      <c r="U6" s="3" t="s">
        <v>277</v>
      </c>
      <c r="V6" s="3" t="s">
        <v>232</v>
      </c>
      <c r="W6" s="9" t="s">
        <v>227</v>
      </c>
      <c r="X6" s="3" t="s">
        <v>233</v>
      </c>
      <c r="Y6" s="3" t="s">
        <v>229</v>
      </c>
      <c r="Z6" s="9" t="s">
        <v>227</v>
      </c>
      <c r="AA6" s="3" t="s">
        <v>235</v>
      </c>
      <c r="AB6" s="3" t="s">
        <v>266</v>
      </c>
      <c r="AD6" s="5" t="s">
        <v>278</v>
      </c>
      <c r="AE6" s="3"/>
      <c r="AF6" s="25" t="s">
        <v>279</v>
      </c>
    </row>
    <row r="7" spans="1:34" ht="15.5" x14ac:dyDescent="0.35">
      <c r="A7" s="13"/>
      <c r="P7" s="3">
        <v>1</v>
      </c>
      <c r="Q7" s="3" t="s">
        <v>280</v>
      </c>
      <c r="R7" s="3" t="s">
        <v>281</v>
      </c>
      <c r="S7" s="9" t="s">
        <v>227</v>
      </c>
      <c r="T7" s="3">
        <v>1</v>
      </c>
      <c r="U7" s="3" t="s">
        <v>282</v>
      </c>
      <c r="V7" s="3" t="s">
        <v>234</v>
      </c>
      <c r="W7" s="9" t="s">
        <v>227</v>
      </c>
      <c r="X7" s="3" t="s">
        <v>235</v>
      </c>
      <c r="Y7" s="3" t="s">
        <v>229</v>
      </c>
      <c r="Z7" s="9" t="s">
        <v>227</v>
      </c>
      <c r="AA7" s="3" t="s">
        <v>237</v>
      </c>
      <c r="AB7" s="3" t="s">
        <v>266</v>
      </c>
      <c r="AD7" s="5" t="s">
        <v>283</v>
      </c>
      <c r="AE7" s="3"/>
      <c r="AF7" s="25" t="s">
        <v>284</v>
      </c>
    </row>
    <row r="8" spans="1:34" x14ac:dyDescent="0.35">
      <c r="B8" s="3">
        <v>1</v>
      </c>
      <c r="C8" s="3" t="s">
        <v>285</v>
      </c>
      <c r="D8" s="3" t="s">
        <v>286</v>
      </c>
      <c r="E8" s="9" t="s">
        <v>227</v>
      </c>
      <c r="F8" s="3">
        <v>1</v>
      </c>
      <c r="G8" s="3" t="s">
        <v>287</v>
      </c>
      <c r="H8" s="3" t="s">
        <v>288</v>
      </c>
      <c r="I8" s="9" t="s">
        <v>227</v>
      </c>
      <c r="J8" s="4">
        <f>POWER(10,-12)</f>
        <v>9.9999999999999998E-13</v>
      </c>
      <c r="K8" s="3" t="s">
        <v>261</v>
      </c>
      <c r="L8" s="9" t="s">
        <v>227</v>
      </c>
      <c r="M8" s="4">
        <f>POWER(10,-15)</f>
        <v>1.0000000000000001E-15</v>
      </c>
      <c r="N8" s="3" t="s">
        <v>263</v>
      </c>
      <c r="P8" s="3">
        <v>1</v>
      </c>
      <c r="Q8" s="3" t="s">
        <v>287</v>
      </c>
      <c r="R8" s="3" t="s">
        <v>288</v>
      </c>
      <c r="S8" s="9" t="s">
        <v>227</v>
      </c>
      <c r="T8" s="3">
        <v>1</v>
      </c>
      <c r="U8" s="3" t="s">
        <v>289</v>
      </c>
      <c r="V8" s="3" t="s">
        <v>236</v>
      </c>
      <c r="W8" s="9" t="s">
        <v>227</v>
      </c>
      <c r="X8" s="3" t="s">
        <v>237</v>
      </c>
      <c r="Y8" s="3" t="s">
        <v>229</v>
      </c>
      <c r="Z8" s="9" t="s">
        <v>227</v>
      </c>
      <c r="AA8" s="3" t="s">
        <v>239</v>
      </c>
      <c r="AB8" s="3" t="s">
        <v>266</v>
      </c>
      <c r="AD8" s="5" t="s">
        <v>290</v>
      </c>
      <c r="AE8" s="3"/>
    </row>
    <row r="9" spans="1:34" x14ac:dyDescent="0.35">
      <c r="P9" s="3">
        <v>1</v>
      </c>
      <c r="Q9" s="3" t="s">
        <v>291</v>
      </c>
      <c r="R9" s="3" t="s">
        <v>292</v>
      </c>
      <c r="S9" s="9" t="s">
        <v>227</v>
      </c>
      <c r="T9" s="3">
        <v>1</v>
      </c>
      <c r="U9" s="3" t="s">
        <v>293</v>
      </c>
      <c r="V9" s="3" t="s">
        <v>238</v>
      </c>
      <c r="W9" s="9" t="s">
        <v>227</v>
      </c>
      <c r="X9" s="3" t="s">
        <v>239</v>
      </c>
      <c r="Y9" s="3" t="s">
        <v>229</v>
      </c>
      <c r="Z9" s="9" t="s">
        <v>227</v>
      </c>
      <c r="AA9" s="3" t="s">
        <v>241</v>
      </c>
      <c r="AB9" s="3" t="s">
        <v>266</v>
      </c>
      <c r="AE9" s="3"/>
    </row>
    <row r="10" spans="1:34" x14ac:dyDescent="0.35">
      <c r="J10" s="4"/>
      <c r="P10" s="3">
        <v>1</v>
      </c>
      <c r="Q10" s="3" t="s">
        <v>294</v>
      </c>
      <c r="R10" s="3" t="s">
        <v>295</v>
      </c>
      <c r="S10" s="9" t="s">
        <v>227</v>
      </c>
      <c r="T10" s="3">
        <v>1</v>
      </c>
      <c r="U10" s="3" t="s">
        <v>296</v>
      </c>
      <c r="V10" s="3" t="s">
        <v>240</v>
      </c>
      <c r="W10" s="9" t="s">
        <v>227</v>
      </c>
      <c r="X10" s="3" t="s">
        <v>241</v>
      </c>
      <c r="Y10" s="3" t="s">
        <v>229</v>
      </c>
      <c r="Z10" s="9" t="s">
        <v>227</v>
      </c>
      <c r="AA10" s="3" t="s">
        <v>243</v>
      </c>
      <c r="AB10" s="3" t="s">
        <v>266</v>
      </c>
      <c r="AD10" s="5" t="s">
        <v>297</v>
      </c>
    </row>
    <row r="11" spans="1:34" x14ac:dyDescent="0.35">
      <c r="B11" s="10">
        <v>1</v>
      </c>
      <c r="C11" s="10" t="s">
        <v>298</v>
      </c>
      <c r="D11" s="10" t="s">
        <v>299</v>
      </c>
      <c r="E11" s="11" t="s">
        <v>227</v>
      </c>
      <c r="F11" s="10">
        <v>1</v>
      </c>
      <c r="G11" s="10" t="s">
        <v>300</v>
      </c>
      <c r="H11" s="10" t="s">
        <v>301</v>
      </c>
      <c r="I11" s="11" t="s">
        <v>227</v>
      </c>
      <c r="J11" s="12">
        <f>M11*1000</f>
        <v>1.0000000000000001E-21</v>
      </c>
      <c r="K11" s="10" t="s">
        <v>261</v>
      </c>
      <c r="L11" s="11" t="s">
        <v>227</v>
      </c>
      <c r="M11" s="12">
        <f>POWER(10,-24)</f>
        <v>1.0000000000000001E-24</v>
      </c>
      <c r="N11" s="10" t="s">
        <v>263</v>
      </c>
      <c r="P11" s="10">
        <v>1</v>
      </c>
      <c r="Q11" s="10" t="s">
        <v>300</v>
      </c>
      <c r="R11" s="10" t="s">
        <v>301</v>
      </c>
      <c r="S11" s="11" t="s">
        <v>227</v>
      </c>
      <c r="T11" s="10">
        <v>1</v>
      </c>
      <c r="U11" s="10" t="s">
        <v>302</v>
      </c>
      <c r="V11" s="10" t="s">
        <v>242</v>
      </c>
      <c r="W11" s="11" t="s">
        <v>227</v>
      </c>
      <c r="X11" s="10" t="s">
        <v>243</v>
      </c>
      <c r="Y11" s="10" t="s">
        <v>229</v>
      </c>
      <c r="Z11" s="11" t="s">
        <v>227</v>
      </c>
      <c r="AA11" s="10" t="s">
        <v>246</v>
      </c>
      <c r="AB11" s="10" t="s">
        <v>266</v>
      </c>
      <c r="AD11" s="58"/>
    </row>
    <row r="12" spans="1:34" ht="24.5" x14ac:dyDescent="0.35">
      <c r="J12" s="4"/>
      <c r="P12" s="3"/>
      <c r="Q12" s="3"/>
      <c r="R12" s="3"/>
      <c r="S12" s="9"/>
      <c r="T12" s="3"/>
      <c r="U12" s="3"/>
      <c r="V12" s="3"/>
      <c r="W12" s="3"/>
      <c r="X12" s="3"/>
      <c r="Y12" s="3"/>
      <c r="Z12" s="3"/>
      <c r="AA12" s="3"/>
      <c r="AD12" s="61" t="s">
        <v>303</v>
      </c>
    </row>
    <row r="13" spans="1:34" x14ac:dyDescent="0.35">
      <c r="J13" s="4"/>
      <c r="V13" s="8"/>
    </row>
    <row r="14" spans="1:34" x14ac:dyDescent="0.35">
      <c r="V14" s="8"/>
      <c r="AE14" s="3"/>
      <c r="AF14" s="3"/>
      <c r="AG14" s="3"/>
      <c r="AH14" s="3"/>
    </row>
    <row r="15" spans="1:34" x14ac:dyDescent="0.35">
      <c r="V15" s="8"/>
      <c r="AE15" s="3"/>
      <c r="AF15" s="3"/>
      <c r="AG15" s="4"/>
      <c r="AH15" s="3"/>
    </row>
    <row r="16" spans="1:34" x14ac:dyDescent="0.35">
      <c r="V16" s="8"/>
      <c r="AE16" s="3"/>
      <c r="AF16" s="3"/>
      <c r="AG16" s="4"/>
      <c r="AH16" s="3"/>
    </row>
    <row r="17" spans="22:34" x14ac:dyDescent="0.35">
      <c r="V17" s="8"/>
      <c r="AE17" s="3"/>
      <c r="AF17" s="3"/>
      <c r="AG17" s="3"/>
      <c r="AH17" s="3"/>
    </row>
    <row r="18" spans="22:34" x14ac:dyDescent="0.35">
      <c r="AE18" s="3"/>
      <c r="AF18" s="3"/>
      <c r="AG18" s="3"/>
      <c r="AH18" s="3"/>
    </row>
    <row r="19" spans="22:34" x14ac:dyDescent="0.35">
      <c r="AE19" s="3"/>
      <c r="AF19" s="3"/>
      <c r="AG19" s="3"/>
      <c r="AH19" s="3"/>
    </row>
    <row r="48" spans="27:27" x14ac:dyDescent="0.35">
      <c r="AA48" s="5"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8BB9-5887-4944-87AF-7EDE39273055}">
  <dimension ref="A1:Z41"/>
  <sheetViews>
    <sheetView tabSelected="1" zoomScale="73" zoomScaleNormal="100" workbookViewId="0">
      <selection activeCell="I12" sqref="I12:O12"/>
    </sheetView>
  </sheetViews>
  <sheetFormatPr defaultColWidth="11.453125" defaultRowHeight="14.5" x14ac:dyDescent="0.35"/>
  <cols>
    <col min="1" max="1" width="11.453125" style="113"/>
    <col min="2" max="2" width="3" style="117" customWidth="1"/>
    <col min="3" max="3" width="13.54296875" style="115" customWidth="1"/>
    <col min="4" max="4" width="5.453125" style="123" bestFit="1" customWidth="1"/>
    <col min="5" max="5" width="6" style="115" customWidth="1"/>
    <col min="6" max="6" width="6.54296875" style="131" customWidth="1"/>
    <col min="7" max="7" width="5.7265625" style="115" customWidth="1"/>
    <col min="8" max="8" width="6.26953125" style="115" customWidth="1"/>
    <col min="9" max="9" width="6.7265625" style="113" customWidth="1"/>
    <col min="10" max="10" width="6.7265625" style="116" customWidth="1"/>
    <col min="11" max="15" width="6.7265625" style="113" customWidth="1"/>
    <col min="16" max="19" width="6.453125" style="113" customWidth="1"/>
    <col min="20" max="20" width="8.81640625" style="113" bestFit="1" customWidth="1"/>
    <col min="21" max="21" width="13.453125" style="113" bestFit="1" customWidth="1"/>
  </cols>
  <sheetData>
    <row r="1" spans="1:21" x14ac:dyDescent="0.35">
      <c r="A1" s="113" t="s">
        <v>304</v>
      </c>
      <c r="B1" s="114" t="s">
        <v>305</v>
      </c>
      <c r="C1" s="113"/>
      <c r="D1" s="121"/>
    </row>
    <row r="2" spans="1:21" x14ac:dyDescent="0.35">
      <c r="A2" s="113" t="s">
        <v>306</v>
      </c>
    </row>
    <row r="4" spans="1:21" s="62" customFormat="1" ht="126" x14ac:dyDescent="0.35">
      <c r="A4" s="114"/>
      <c r="B4" s="118"/>
      <c r="C4" s="119"/>
      <c r="D4" s="135" t="s">
        <v>37</v>
      </c>
      <c r="E4" s="118" t="s">
        <v>25</v>
      </c>
      <c r="F4" s="132" t="s">
        <v>307</v>
      </c>
      <c r="G4" s="118" t="s">
        <v>308</v>
      </c>
      <c r="H4" s="118" t="s">
        <v>309</v>
      </c>
      <c r="I4" s="118" t="s">
        <v>310</v>
      </c>
      <c r="J4" s="120" t="s">
        <v>311</v>
      </c>
      <c r="K4" s="118" t="s">
        <v>312</v>
      </c>
      <c r="L4" s="118" t="s">
        <v>313</v>
      </c>
      <c r="M4" s="118" t="s">
        <v>314</v>
      </c>
      <c r="N4" s="118" t="s">
        <v>315</v>
      </c>
      <c r="O4" s="118" t="s">
        <v>316</v>
      </c>
      <c r="P4" s="117" t="s">
        <v>317</v>
      </c>
      <c r="Q4" s="117" t="s">
        <v>318</v>
      </c>
      <c r="R4" s="117" t="s">
        <v>319</v>
      </c>
      <c r="S4" s="117" t="s">
        <v>320</v>
      </c>
      <c r="T4" s="118" t="s">
        <v>321</v>
      </c>
      <c r="U4" s="118" t="s">
        <v>322</v>
      </c>
    </row>
    <row r="5" spans="1:21" x14ac:dyDescent="0.35">
      <c r="C5" s="114"/>
      <c r="D5" s="121">
        <f t="shared" ref="D5:D11" si="0">E5/POWER(10,6)</f>
        <v>1.0000000000000001E-7</v>
      </c>
      <c r="E5" s="115">
        <v>0.1</v>
      </c>
      <c r="F5" s="131" t="s">
        <v>90</v>
      </c>
      <c r="G5" s="115" t="s">
        <v>90</v>
      </c>
      <c r="H5" s="115" t="s">
        <v>323</v>
      </c>
      <c r="I5" s="121">
        <f t="shared" ref="I5:I6" si="1">(4/3)*PI()*POWER((E5/2),3)</f>
        <v>5.2359877559829892E-4</v>
      </c>
      <c r="J5" s="122">
        <f>I5/POWER(10,6)</f>
        <v>5.2359877559829897E-10</v>
      </c>
      <c r="K5" s="121">
        <f>J5*P$5</f>
        <v>5.7595865315812887E-10</v>
      </c>
      <c r="L5" s="121">
        <f>K5*Q$5</f>
        <v>1.4398966328953222E-10</v>
      </c>
      <c r="M5" s="121">
        <f>L5*R$5</f>
        <v>5.759586531581289E-11</v>
      </c>
      <c r="N5" s="123">
        <f>J5*S$5</f>
        <v>5.7595865315812896E-11</v>
      </c>
      <c r="O5" s="123">
        <f t="shared" ref="O5" si="2">M5/POWER(10,6)</f>
        <v>5.759586531581289E-17</v>
      </c>
      <c r="P5" s="117">
        <v>1.1000000000000001</v>
      </c>
      <c r="Q5" s="117">
        <v>0.25</v>
      </c>
      <c r="R5" s="117">
        <v>0.4</v>
      </c>
      <c r="S5" s="117">
        <f>P5*Q5*R5</f>
        <v>0.11000000000000001</v>
      </c>
      <c r="T5" s="113" t="s">
        <v>324</v>
      </c>
      <c r="U5" s="113" t="s">
        <v>325</v>
      </c>
    </row>
    <row r="6" spans="1:21" x14ac:dyDescent="0.35">
      <c r="C6" s="114"/>
      <c r="D6" s="121">
        <f t="shared" si="0"/>
        <v>9.9999999999999995E-7</v>
      </c>
      <c r="E6" s="115">
        <v>1</v>
      </c>
      <c r="F6" s="131" t="s">
        <v>90</v>
      </c>
      <c r="G6" s="115" t="s">
        <v>90</v>
      </c>
      <c r="H6" s="115" t="s">
        <v>323</v>
      </c>
      <c r="I6" s="121">
        <f t="shared" si="1"/>
        <v>0.52359877559829882</v>
      </c>
      <c r="J6" s="122">
        <f t="shared" ref="J6:J12" si="3">I6/POWER(10,6)</f>
        <v>5.2359877559829882E-7</v>
      </c>
      <c r="K6" s="121">
        <f t="shared" ref="K6:M6" si="4">J6*P$5</f>
        <v>5.7595865315812878E-7</v>
      </c>
      <c r="L6" s="121">
        <f t="shared" si="4"/>
        <v>1.439896632895322E-7</v>
      </c>
      <c r="M6" s="121">
        <f t="shared" si="4"/>
        <v>5.7595865315812881E-8</v>
      </c>
      <c r="N6" s="123">
        <f t="shared" ref="N6:N12" si="5">J6*S$5</f>
        <v>5.7595865315812874E-8</v>
      </c>
      <c r="O6" s="123">
        <f t="shared" ref="O6:O12" si="6">M6/POWER(10,6)</f>
        <v>5.7595865315812886E-14</v>
      </c>
      <c r="P6" s="114" t="s">
        <v>326</v>
      </c>
      <c r="Q6" s="114" t="s">
        <v>326</v>
      </c>
      <c r="R6" s="114" t="s">
        <v>326</v>
      </c>
      <c r="S6" s="114" t="s">
        <v>326</v>
      </c>
      <c r="T6" s="113" t="s">
        <v>324</v>
      </c>
      <c r="U6" s="113" t="s">
        <v>325</v>
      </c>
    </row>
    <row r="7" spans="1:21" x14ac:dyDescent="0.35">
      <c r="C7" s="114"/>
      <c r="D7" s="121">
        <f t="shared" ref="D7" si="7">E7/POWER(10,6)</f>
        <v>1.0000000000000001E-5</v>
      </c>
      <c r="E7" s="115">
        <v>10</v>
      </c>
      <c r="F7" s="131" t="s">
        <v>90</v>
      </c>
      <c r="G7" s="115" t="s">
        <v>90</v>
      </c>
      <c r="H7" s="115" t="s">
        <v>323</v>
      </c>
      <c r="I7" s="121">
        <f t="shared" ref="I7" si="8">(4/3)*PI()*POWER((E7/2),3)</f>
        <v>523.59877559829886</v>
      </c>
      <c r="J7" s="122">
        <f t="shared" ref="J7" si="9">I7/POWER(10,6)</f>
        <v>5.2359877559829881E-4</v>
      </c>
      <c r="K7" s="121">
        <f t="shared" ref="K7" si="10">J7*P$5</f>
        <v>5.7595865315812872E-4</v>
      </c>
      <c r="L7" s="121">
        <f t="shared" ref="L7" si="11">K7*Q$5</f>
        <v>1.4398966328953218E-4</v>
      </c>
      <c r="M7" s="121">
        <f t="shared" ref="M7" si="12">L7*R$5</f>
        <v>5.7595865315812873E-5</v>
      </c>
      <c r="N7" s="123">
        <f t="shared" ref="N7" si="13">J7*S$5</f>
        <v>5.759586531581288E-5</v>
      </c>
      <c r="O7" s="123">
        <f t="shared" ref="O7" si="14">M7/POWER(10,6)</f>
        <v>5.759586531581287E-11</v>
      </c>
      <c r="P7" s="114" t="s">
        <v>326</v>
      </c>
      <c r="Q7" s="114" t="s">
        <v>326</v>
      </c>
      <c r="R7" s="114" t="s">
        <v>326</v>
      </c>
      <c r="S7" s="114" t="s">
        <v>326</v>
      </c>
      <c r="T7" s="113" t="s">
        <v>324</v>
      </c>
      <c r="U7" s="113" t="s">
        <v>325</v>
      </c>
    </row>
    <row r="8" spans="1:21" x14ac:dyDescent="0.35">
      <c r="C8" s="114"/>
      <c r="D8" s="121">
        <f>E8/POWER(10,6)</f>
        <v>1E-4</v>
      </c>
      <c r="E8" s="115">
        <v>100</v>
      </c>
      <c r="F8" s="131" t="s">
        <v>90</v>
      </c>
      <c r="G8" s="115" t="s">
        <v>90</v>
      </c>
      <c r="H8" s="115" t="s">
        <v>323</v>
      </c>
      <c r="I8" s="121">
        <f>(4/3)*PI()*POWER((E8/2),3)</f>
        <v>523598.77559829882</v>
      </c>
      <c r="J8" s="122">
        <f>I8/POWER(10,6)</f>
        <v>0.52359877559829882</v>
      </c>
      <c r="K8" s="121">
        <f>J8*P$5</f>
        <v>0.57595865315812877</v>
      </c>
      <c r="L8" s="121">
        <f>K8*Q$5</f>
        <v>0.14398966328953219</v>
      </c>
      <c r="M8" s="121">
        <f>L8*R$5</f>
        <v>5.7595865315812879E-2</v>
      </c>
      <c r="N8" s="123">
        <f>J8*S$5</f>
        <v>5.7595865315812879E-2</v>
      </c>
      <c r="O8" s="123">
        <f>M8/POWER(10,6)</f>
        <v>5.7595865315812881E-8</v>
      </c>
      <c r="P8" s="114" t="s">
        <v>326</v>
      </c>
      <c r="Q8" s="114" t="s">
        <v>326</v>
      </c>
      <c r="R8" s="114" t="s">
        <v>326</v>
      </c>
      <c r="S8" s="114" t="s">
        <v>326</v>
      </c>
      <c r="T8" s="113" t="s">
        <v>324</v>
      </c>
      <c r="U8" s="113" t="s">
        <v>325</v>
      </c>
    </row>
    <row r="9" spans="1:21" x14ac:dyDescent="0.35">
      <c r="C9" s="114"/>
      <c r="D9" s="121">
        <f>E9/POWER(10,6)</f>
        <v>1E-3</v>
      </c>
      <c r="E9" s="115">
        <v>1000</v>
      </c>
      <c r="F9" s="131" t="s">
        <v>90</v>
      </c>
      <c r="G9" s="115" t="s">
        <v>90</v>
      </c>
      <c r="H9" s="115" t="s">
        <v>323</v>
      </c>
      <c r="I9" s="121">
        <f>(4/3)*PI()*POWER((E9/2),3)</f>
        <v>523598775.59829879</v>
      </c>
      <c r="J9" s="122">
        <f>I9/POWER(10,6)</f>
        <v>523.59877559829874</v>
      </c>
      <c r="K9" s="121">
        <f>J9*P$5</f>
        <v>575.95865315812864</v>
      </c>
      <c r="L9" s="121">
        <f>K9*Q$5</f>
        <v>143.98966328953216</v>
      </c>
      <c r="M9" s="121">
        <f>L9*R$5</f>
        <v>57.595865315812866</v>
      </c>
      <c r="N9" s="123">
        <f>J9*S$5</f>
        <v>57.595865315812873</v>
      </c>
      <c r="O9" s="123">
        <f>M9/POWER(10,6)</f>
        <v>5.7595865315812866E-5</v>
      </c>
      <c r="P9" s="114" t="s">
        <v>326</v>
      </c>
      <c r="Q9" s="114" t="s">
        <v>326</v>
      </c>
      <c r="R9" s="114" t="s">
        <v>326</v>
      </c>
      <c r="S9" s="114" t="s">
        <v>326</v>
      </c>
      <c r="T9" s="113" t="s">
        <v>324</v>
      </c>
      <c r="U9" s="113" t="s">
        <v>325</v>
      </c>
    </row>
    <row r="10" spans="1:21" x14ac:dyDescent="0.35">
      <c r="D10" s="121">
        <f t="shared" si="0"/>
        <v>1E-4</v>
      </c>
      <c r="E10" s="115">
        <v>100</v>
      </c>
      <c r="F10" s="131">
        <v>30</v>
      </c>
      <c r="G10" s="115">
        <v>20</v>
      </c>
      <c r="H10" s="115" t="s">
        <v>332</v>
      </c>
      <c r="I10" s="121">
        <f>(1/3)*E10*PI()*(POWER((F10/2),2))</f>
        <v>23561.944901923445</v>
      </c>
      <c r="J10" s="122">
        <f t="shared" si="3"/>
        <v>2.3561944901923447E-2</v>
      </c>
      <c r="K10" s="121">
        <f t="shared" ref="K10:M10" si="15">J10*P$5</f>
        <v>2.5918139392115794E-2</v>
      </c>
      <c r="L10" s="121">
        <f t="shared" si="15"/>
        <v>6.4795348480289486E-3</v>
      </c>
      <c r="M10" s="121">
        <f t="shared" si="15"/>
        <v>2.5918139392115797E-3</v>
      </c>
      <c r="N10" s="123">
        <f t="shared" si="5"/>
        <v>2.5918139392115797E-3</v>
      </c>
      <c r="O10" s="123">
        <f t="shared" si="6"/>
        <v>2.5918139392115796E-9</v>
      </c>
      <c r="P10" s="114" t="s">
        <v>326</v>
      </c>
      <c r="Q10" s="114" t="s">
        <v>326</v>
      </c>
      <c r="R10" s="114" t="s">
        <v>326</v>
      </c>
      <c r="S10" s="114" t="s">
        <v>326</v>
      </c>
      <c r="T10" s="115" t="s">
        <v>333</v>
      </c>
      <c r="U10" s="115"/>
    </row>
    <row r="11" spans="1:21" x14ac:dyDescent="0.35">
      <c r="D11" s="121">
        <f t="shared" si="0"/>
        <v>1E-4</v>
      </c>
      <c r="E11" s="115">
        <v>100</v>
      </c>
      <c r="F11" s="131">
        <v>30</v>
      </c>
      <c r="G11" s="115" t="s">
        <v>90</v>
      </c>
      <c r="H11" s="115" t="s">
        <v>334</v>
      </c>
      <c r="I11" s="121">
        <f>PI()*(POWER((F11/2),2))*E11</f>
        <v>70685.83470577035</v>
      </c>
      <c r="J11" s="122">
        <f t="shared" si="3"/>
        <v>7.0685834705770348E-2</v>
      </c>
      <c r="K11" s="121">
        <f t="shared" ref="K11:M11" si="16">J11*P$5</f>
        <v>7.7754418176347387E-2</v>
      </c>
      <c r="L11" s="121">
        <f t="shared" si="16"/>
        <v>1.9438604544086847E-2</v>
      </c>
      <c r="M11" s="121">
        <f t="shared" si="16"/>
        <v>7.7754418176347387E-3</v>
      </c>
      <c r="N11" s="123">
        <f t="shared" si="5"/>
        <v>7.7754418176347396E-3</v>
      </c>
      <c r="O11" s="123">
        <f t="shared" si="6"/>
        <v>7.7754418176347383E-9</v>
      </c>
      <c r="P11" s="114" t="s">
        <v>326</v>
      </c>
      <c r="Q11" s="114" t="s">
        <v>326</v>
      </c>
      <c r="R11" s="114" t="s">
        <v>326</v>
      </c>
      <c r="S11" s="114" t="s">
        <v>326</v>
      </c>
      <c r="T11" s="115" t="s">
        <v>335</v>
      </c>
      <c r="U11" s="113" t="s">
        <v>336</v>
      </c>
    </row>
    <row r="12" spans="1:21" ht="21" x14ac:dyDescent="0.35">
      <c r="D12" s="121">
        <f>E12/POWER(10,6)</f>
        <v>1E-4</v>
      </c>
      <c r="E12" s="115">
        <v>100</v>
      </c>
      <c r="F12" s="131">
        <v>30</v>
      </c>
      <c r="G12" s="115" t="s">
        <v>90</v>
      </c>
      <c r="H12" s="115" t="s">
        <v>329</v>
      </c>
      <c r="I12" s="121">
        <f>(4/3)*PI()*(E12/2)*POWER((F12/2),2)</f>
        <v>47123.889803846898</v>
      </c>
      <c r="J12" s="122">
        <f t="shared" si="3"/>
        <v>4.7123889803846901E-2</v>
      </c>
      <c r="K12" s="121">
        <f t="shared" ref="K12:M12" si="17">J12*P$5</f>
        <v>5.1836278784231596E-2</v>
      </c>
      <c r="L12" s="121">
        <f t="shared" si="17"/>
        <v>1.2959069696057899E-2</v>
      </c>
      <c r="M12" s="121">
        <f t="shared" si="17"/>
        <v>5.1836278784231603E-3</v>
      </c>
      <c r="N12" s="123">
        <f t="shared" si="5"/>
        <v>5.1836278784231594E-3</v>
      </c>
      <c r="O12" s="123">
        <f t="shared" si="6"/>
        <v>5.18362787842316E-9</v>
      </c>
      <c r="P12" s="114" t="s">
        <v>326</v>
      </c>
      <c r="Q12" s="114" t="s">
        <v>326</v>
      </c>
      <c r="R12" s="114" t="s">
        <v>326</v>
      </c>
      <c r="S12" s="114" t="s">
        <v>326</v>
      </c>
      <c r="T12" s="113" t="s">
        <v>330</v>
      </c>
      <c r="U12" s="113" t="s">
        <v>331</v>
      </c>
    </row>
    <row r="13" spans="1:21" x14ac:dyDescent="0.35">
      <c r="D13" s="121">
        <f>E13/POWER(10,6)</f>
        <v>1E-4</v>
      </c>
      <c r="E13" s="115">
        <v>100</v>
      </c>
      <c r="F13" s="131">
        <v>3</v>
      </c>
      <c r="G13" s="115">
        <v>20</v>
      </c>
      <c r="H13" s="115" t="s">
        <v>327</v>
      </c>
      <c r="I13" s="121">
        <f>(4/3)*PI()*(E13/2*F13/2*G13/2)</f>
        <v>3141.5926535897929</v>
      </c>
      <c r="J13" s="122">
        <f>I13/POWER(10,6)</f>
        <v>3.1415926535897929E-3</v>
      </c>
      <c r="K13" s="121">
        <f>J13*P$5</f>
        <v>3.4557519189487725E-3</v>
      </c>
      <c r="L13" s="121">
        <f>K13*Q$5</f>
        <v>8.6393797973719313E-4</v>
      </c>
      <c r="M13" s="121">
        <f>L13*R$5</f>
        <v>3.4557519189487725E-4</v>
      </c>
      <c r="N13" s="123">
        <f>J13*S$5</f>
        <v>3.4557519189487725E-4</v>
      </c>
      <c r="O13" s="123">
        <f>M13/POWER(10,6)</f>
        <v>3.4557519189487726E-10</v>
      </c>
      <c r="P13" s="114" t="s">
        <v>326</v>
      </c>
      <c r="Q13" s="114" t="s">
        <v>326</v>
      </c>
      <c r="R13" s="114" t="s">
        <v>326</v>
      </c>
      <c r="S13" s="114" t="s">
        <v>326</v>
      </c>
      <c r="T13" s="113" t="s">
        <v>328</v>
      </c>
    </row>
    <row r="14" spans="1:21" x14ac:dyDescent="0.35">
      <c r="B14" s="124"/>
      <c r="C14" s="125"/>
      <c r="D14" s="136"/>
      <c r="E14" s="125"/>
      <c r="F14" s="133"/>
      <c r="G14" s="125"/>
      <c r="H14" s="125"/>
      <c r="I14" s="126"/>
      <c r="J14" s="127"/>
      <c r="K14" s="126"/>
      <c r="L14" s="126"/>
      <c r="M14" s="126"/>
      <c r="N14" s="126"/>
      <c r="O14" s="126"/>
      <c r="P14" s="114"/>
      <c r="Q14" s="114"/>
      <c r="R14" s="114"/>
      <c r="S14" s="114"/>
      <c r="T14" s="126"/>
      <c r="U14" s="126"/>
    </row>
    <row r="15" spans="1:21" x14ac:dyDescent="0.35">
      <c r="B15" s="118"/>
      <c r="C15" s="119"/>
      <c r="D15" s="137"/>
      <c r="E15" s="119"/>
      <c r="F15" s="134"/>
      <c r="G15" s="119"/>
      <c r="H15" s="119"/>
      <c r="I15" s="128"/>
      <c r="J15" s="129"/>
      <c r="K15" s="128"/>
      <c r="L15" s="128"/>
      <c r="M15" s="128"/>
      <c r="N15" s="128"/>
      <c r="O15" s="128"/>
      <c r="T15" s="128"/>
      <c r="U15" s="128"/>
    </row>
    <row r="16" spans="1:21" x14ac:dyDescent="0.35">
      <c r="C16" s="113" t="s">
        <v>337</v>
      </c>
      <c r="D16" s="121"/>
      <c r="E16" s="130" t="s">
        <v>338</v>
      </c>
      <c r="G16" s="113"/>
    </row>
    <row r="17" spans="3:5" x14ac:dyDescent="0.35">
      <c r="E17" s="130" t="s">
        <v>339</v>
      </c>
    </row>
    <row r="18" spans="3:5" x14ac:dyDescent="0.35">
      <c r="E18" s="130" t="s">
        <v>340</v>
      </c>
    </row>
    <row r="19" spans="3:5" x14ac:dyDescent="0.35">
      <c r="E19" s="130" t="s">
        <v>341</v>
      </c>
    </row>
    <row r="20" spans="3:5" x14ac:dyDescent="0.35">
      <c r="E20" s="130" t="s">
        <v>342</v>
      </c>
    </row>
    <row r="21" spans="3:5" x14ac:dyDescent="0.35">
      <c r="E21" s="130" t="s">
        <v>343</v>
      </c>
    </row>
    <row r="23" spans="3:5" x14ac:dyDescent="0.35">
      <c r="C23" s="113" t="s">
        <v>344</v>
      </c>
      <c r="D23" s="121"/>
      <c r="E23" s="130" t="s">
        <v>345</v>
      </c>
    </row>
    <row r="24" spans="3:5" x14ac:dyDescent="0.35">
      <c r="E24" s="130" t="s">
        <v>346</v>
      </c>
    </row>
    <row r="26" spans="3:5" x14ac:dyDescent="0.35">
      <c r="C26" s="113" t="s">
        <v>347</v>
      </c>
      <c r="D26" s="121"/>
      <c r="E26" s="130" t="s">
        <v>348</v>
      </c>
    </row>
    <row r="27" spans="3:5" x14ac:dyDescent="0.35">
      <c r="C27" s="113"/>
      <c r="D27" s="121"/>
    </row>
    <row r="28" spans="3:5" x14ac:dyDescent="0.35">
      <c r="C28" s="113" t="s">
        <v>349</v>
      </c>
      <c r="D28" s="121"/>
      <c r="E28" s="130" t="s">
        <v>350</v>
      </c>
    </row>
    <row r="29" spans="3:5" x14ac:dyDescent="0.35">
      <c r="C29" s="113"/>
      <c r="D29" s="121"/>
      <c r="E29" s="130" t="s">
        <v>351</v>
      </c>
    </row>
    <row r="30" spans="3:5" x14ac:dyDescent="0.35">
      <c r="C30" s="113"/>
      <c r="D30" s="121"/>
    </row>
    <row r="31" spans="3:5" x14ac:dyDescent="0.35">
      <c r="C31" s="113" t="s">
        <v>352</v>
      </c>
      <c r="D31" s="121"/>
      <c r="E31" s="130" t="s">
        <v>353</v>
      </c>
    </row>
    <row r="32" spans="3:5" x14ac:dyDescent="0.35">
      <c r="E32" s="130" t="s">
        <v>354</v>
      </c>
    </row>
    <row r="41" spans="26:26" x14ac:dyDescent="0.35">
      <c r="Z41" t="s">
        <v>18</v>
      </c>
    </row>
  </sheetData>
  <phoneticPr fontId="7" type="noConversion"/>
  <pageMargins left="0.75" right="0.75" top="1" bottom="1" header="0.5" footer="0.5"/>
  <pageSetup paperSize="9" orientation="portrait" horizontalDpi="4294967292" vertic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517C5-C242-452E-9378-1297C7581165}">
  <dimension ref="A1:AM77"/>
  <sheetViews>
    <sheetView topLeftCell="E1" workbookViewId="0">
      <selection activeCell="S13" sqref="S13"/>
    </sheetView>
  </sheetViews>
  <sheetFormatPr defaultRowHeight="14.5" x14ac:dyDescent="0.35"/>
  <cols>
    <col min="1" max="2" width="8.7265625" style="3"/>
    <col min="3" max="3" width="29.54296875" style="32" bestFit="1" customWidth="1"/>
    <col min="4" max="4" width="22.54296875" style="32" bestFit="1" customWidth="1"/>
    <col min="5" max="5" width="27.7265625" style="32" customWidth="1"/>
    <col min="6" max="7" width="8.7265625" style="32"/>
    <col min="8" max="8" width="9" style="32" bestFit="1" customWidth="1"/>
    <col min="9" max="9" width="11.54296875" style="105" bestFit="1" customWidth="1"/>
    <col min="10" max="13" width="8.7265625" style="32"/>
    <col min="14" max="15" width="8.81640625" style="32" bestFit="1" customWidth="1"/>
    <col min="16" max="16" width="8.81640625" style="32" customWidth="1"/>
    <col min="17" max="17" width="9.453125" style="32" bestFit="1" customWidth="1"/>
    <col min="18" max="19" width="9.54296875" style="32" bestFit="1" customWidth="1"/>
    <col min="20" max="20" width="9" style="32" bestFit="1" customWidth="1"/>
    <col min="21" max="21" width="9.1796875" style="32" bestFit="1" customWidth="1"/>
    <col min="22" max="23" width="9" style="32" bestFit="1" customWidth="1"/>
    <col min="24" max="24" width="10" style="32" bestFit="1" customWidth="1"/>
    <col min="25" max="25" width="8.7265625" style="1"/>
    <col min="26" max="26" width="8.7265625" style="32"/>
    <col min="27" max="28" width="8.81640625" style="32" customWidth="1"/>
    <col min="29" max="30" width="8.81640625" style="32" bestFit="1" customWidth="1"/>
    <col min="31" max="31" width="8.7265625" style="32"/>
    <col min="32" max="32" width="8.81640625" style="32" bestFit="1" customWidth="1"/>
    <col min="33" max="34" width="9" style="32" bestFit="1" customWidth="1"/>
    <col min="35" max="37" width="9.453125" style="32" bestFit="1" customWidth="1"/>
    <col min="38" max="38" width="8.7265625" style="33"/>
    <col min="39" max="39" width="8.7265625" style="103"/>
  </cols>
  <sheetData>
    <row r="1" spans="1:39" s="68" customFormat="1" ht="48" x14ac:dyDescent="0.35">
      <c r="A1" s="2" t="s">
        <v>355</v>
      </c>
      <c r="B1" s="2"/>
      <c r="C1" s="29"/>
      <c r="D1" s="29"/>
      <c r="E1" s="29"/>
      <c r="F1" s="29"/>
      <c r="G1" s="29"/>
      <c r="H1" s="29"/>
      <c r="I1" s="109"/>
      <c r="J1" s="29"/>
      <c r="K1" s="29" t="s">
        <v>356</v>
      </c>
      <c r="L1" s="29"/>
      <c r="M1" s="29"/>
      <c r="N1" s="29"/>
      <c r="O1" s="29"/>
      <c r="P1" s="29"/>
      <c r="Q1" s="29" t="s">
        <v>357</v>
      </c>
      <c r="R1" s="29"/>
      <c r="S1" s="29"/>
      <c r="T1" s="29"/>
      <c r="U1" s="29"/>
      <c r="V1" s="64"/>
      <c r="W1" s="29"/>
      <c r="X1" s="29"/>
      <c r="Z1" s="29" t="s">
        <v>358</v>
      </c>
      <c r="AA1" s="29"/>
      <c r="AB1" s="29"/>
      <c r="AC1" s="29"/>
      <c r="AD1" s="29"/>
      <c r="AE1" s="29"/>
      <c r="AF1" s="29"/>
      <c r="AG1" s="29"/>
      <c r="AH1" s="29"/>
      <c r="AI1" s="29"/>
      <c r="AJ1" s="29"/>
      <c r="AK1" s="29"/>
      <c r="AL1" s="104"/>
      <c r="AM1" s="102"/>
    </row>
    <row r="2" spans="1:39" ht="72" x14ac:dyDescent="0.35">
      <c r="A2" s="3" t="s">
        <v>359</v>
      </c>
      <c r="C2" s="29" t="s">
        <v>23</v>
      </c>
      <c r="D2" s="29" t="s">
        <v>39</v>
      </c>
      <c r="E2" s="29" t="s">
        <v>360</v>
      </c>
      <c r="F2" s="29" t="s">
        <v>361</v>
      </c>
      <c r="G2" s="29" t="s">
        <v>362</v>
      </c>
      <c r="H2" s="29" t="s">
        <v>363</v>
      </c>
      <c r="I2" s="109" t="s">
        <v>364</v>
      </c>
      <c r="J2" s="29" t="s">
        <v>365</v>
      </c>
      <c r="K2" s="29" t="s">
        <v>263</v>
      </c>
      <c r="L2" s="29" t="s">
        <v>366</v>
      </c>
      <c r="M2" s="29" t="s">
        <v>367</v>
      </c>
      <c r="N2" s="29" t="s">
        <v>368</v>
      </c>
      <c r="O2" s="29" t="s">
        <v>369</v>
      </c>
      <c r="P2" s="29"/>
      <c r="Q2" s="29" t="s">
        <v>370</v>
      </c>
      <c r="R2" s="29" t="s">
        <v>371</v>
      </c>
      <c r="S2" s="64" t="s">
        <v>372</v>
      </c>
      <c r="T2" s="64" t="s">
        <v>373</v>
      </c>
      <c r="U2" s="64" t="s">
        <v>374</v>
      </c>
      <c r="V2" s="64" t="s">
        <v>375</v>
      </c>
      <c r="W2" s="64" t="s">
        <v>376</v>
      </c>
      <c r="X2" s="64" t="s">
        <v>377</v>
      </c>
      <c r="Z2" s="29" t="s">
        <v>378</v>
      </c>
      <c r="AA2" s="64" t="s">
        <v>379</v>
      </c>
      <c r="AB2" s="64" t="s">
        <v>380</v>
      </c>
      <c r="AC2" s="64" t="s">
        <v>381</v>
      </c>
      <c r="AD2" s="64" t="s">
        <v>382</v>
      </c>
      <c r="AE2" s="29" t="s">
        <v>383</v>
      </c>
      <c r="AF2" s="64" t="s">
        <v>384</v>
      </c>
      <c r="AG2" s="64" t="s">
        <v>385</v>
      </c>
      <c r="AH2" s="64" t="s">
        <v>380</v>
      </c>
      <c r="AI2" s="64" t="s">
        <v>386</v>
      </c>
      <c r="AJ2" s="64" t="s">
        <v>387</v>
      </c>
      <c r="AK2" s="64" t="s">
        <v>388</v>
      </c>
    </row>
    <row r="3" spans="1:39" x14ac:dyDescent="0.35">
      <c r="A3" s="3" t="s">
        <v>389</v>
      </c>
      <c r="C3" s="73" t="s">
        <v>44</v>
      </c>
      <c r="D3" s="73"/>
      <c r="E3" s="73"/>
      <c r="F3" s="73"/>
      <c r="G3" s="73"/>
      <c r="H3" s="73"/>
      <c r="I3" s="110"/>
      <c r="J3" s="73"/>
      <c r="K3" s="73"/>
      <c r="L3" s="73"/>
      <c r="M3" s="73"/>
      <c r="N3" s="73"/>
      <c r="O3" s="73"/>
      <c r="P3" s="73"/>
      <c r="Q3" s="73"/>
      <c r="R3" s="76"/>
      <c r="S3" s="73"/>
      <c r="T3" s="77"/>
      <c r="U3" s="78"/>
      <c r="V3" s="74"/>
      <c r="W3" s="74"/>
      <c r="X3" s="75"/>
      <c r="Z3" s="73"/>
      <c r="AA3" s="78"/>
      <c r="AB3" s="74"/>
      <c r="AC3" s="75"/>
      <c r="AD3" s="75"/>
      <c r="AE3" s="73"/>
      <c r="AF3" s="73"/>
      <c r="AG3" s="101"/>
      <c r="AH3" s="101"/>
      <c r="AI3" s="73"/>
      <c r="AJ3" s="73"/>
      <c r="AK3" s="73"/>
    </row>
    <row r="4" spans="1:39" ht="48" x14ac:dyDescent="0.35">
      <c r="C4" s="32" t="s">
        <v>390</v>
      </c>
      <c r="D4" s="32" t="s">
        <v>391</v>
      </c>
      <c r="E4" s="32" t="s">
        <v>392</v>
      </c>
      <c r="F4" s="32" t="s">
        <v>393</v>
      </c>
      <c r="G4" s="106" t="s">
        <v>90</v>
      </c>
      <c r="H4" s="63">
        <f>X4</f>
        <v>1.6605399999999999E-17</v>
      </c>
      <c r="I4" s="105" t="s">
        <v>90</v>
      </c>
      <c r="J4" s="32" t="s">
        <v>90</v>
      </c>
      <c r="K4" s="32" t="s">
        <v>90</v>
      </c>
      <c r="L4" s="32" t="s">
        <v>90</v>
      </c>
      <c r="M4" s="32" t="s">
        <v>90</v>
      </c>
      <c r="N4" s="32" t="s">
        <v>90</v>
      </c>
      <c r="Q4" s="65">
        <v>0.1</v>
      </c>
      <c r="R4" s="65">
        <v>0.1</v>
      </c>
      <c r="S4" s="69" t="s">
        <v>90</v>
      </c>
      <c r="T4" s="69" t="s">
        <v>90</v>
      </c>
      <c r="U4" s="69" t="s">
        <v>90</v>
      </c>
      <c r="V4" s="63" t="s">
        <v>90</v>
      </c>
      <c r="W4" s="63" t="s">
        <v>90</v>
      </c>
      <c r="X4" s="63">
        <f>POWER(10,7)*1.66054*POWER(10,-24)</f>
        <v>1.6605399999999999E-17</v>
      </c>
      <c r="Z4" s="32" t="s">
        <v>394</v>
      </c>
      <c r="AA4" s="69" t="s">
        <v>90</v>
      </c>
      <c r="AB4" s="63" t="s">
        <v>90</v>
      </c>
      <c r="AC4" s="63"/>
      <c r="AD4" s="63"/>
      <c r="AG4" s="65"/>
      <c r="AH4" s="65"/>
      <c r="AI4" s="65"/>
      <c r="AJ4" s="65"/>
      <c r="AK4" s="65"/>
    </row>
    <row r="5" spans="1:39" ht="36" x14ac:dyDescent="0.35">
      <c r="C5" s="32" t="s">
        <v>395</v>
      </c>
      <c r="D5" s="32" t="s">
        <v>396</v>
      </c>
      <c r="E5" s="143" t="s">
        <v>397</v>
      </c>
      <c r="F5" s="32" t="s">
        <v>398</v>
      </c>
      <c r="G5" s="106">
        <v>0.05</v>
      </c>
      <c r="H5" s="107">
        <v>2.0000000000000001E-17</v>
      </c>
      <c r="Q5" s="65">
        <v>0.05</v>
      </c>
      <c r="R5" s="65"/>
      <c r="S5" s="69"/>
      <c r="T5" s="69"/>
      <c r="U5" s="69"/>
      <c r="V5" s="63"/>
      <c r="W5" s="63"/>
      <c r="X5" s="63"/>
      <c r="AA5" s="69"/>
      <c r="AB5" s="63"/>
      <c r="AC5" s="63"/>
      <c r="AD5" s="63"/>
      <c r="AG5" s="65"/>
      <c r="AH5" s="65"/>
      <c r="AI5" s="65"/>
      <c r="AJ5" s="65"/>
      <c r="AK5" s="65"/>
    </row>
    <row r="6" spans="1:39" ht="36" x14ac:dyDescent="0.35">
      <c r="C6" s="32" t="s">
        <v>399</v>
      </c>
      <c r="D6" s="32" t="s">
        <v>400</v>
      </c>
      <c r="E6" s="32" t="s">
        <v>401</v>
      </c>
      <c r="F6" s="32" t="s">
        <v>393</v>
      </c>
      <c r="G6" s="32" t="s">
        <v>90</v>
      </c>
      <c r="H6" s="107">
        <v>1.0000000000000001E-17</v>
      </c>
      <c r="I6" s="105" t="s">
        <v>386</v>
      </c>
      <c r="J6" s="32" t="s">
        <v>298</v>
      </c>
      <c r="K6" s="32" t="s">
        <v>90</v>
      </c>
      <c r="L6" s="32" t="s">
        <v>90</v>
      </c>
      <c r="M6" s="32" t="s">
        <v>90</v>
      </c>
      <c r="N6" s="32" t="s">
        <v>90</v>
      </c>
      <c r="Q6" s="65">
        <v>0.1</v>
      </c>
      <c r="R6" s="65">
        <v>0.1</v>
      </c>
      <c r="S6" s="69" t="s">
        <v>90</v>
      </c>
      <c r="T6" s="69" t="s">
        <v>90</v>
      </c>
      <c r="U6" s="65" t="s">
        <v>90</v>
      </c>
      <c r="V6" s="63" t="s">
        <v>90</v>
      </c>
      <c r="W6" s="63" t="s">
        <v>90</v>
      </c>
      <c r="X6" s="63" t="s">
        <v>90</v>
      </c>
      <c r="Z6" s="32" t="s">
        <v>402</v>
      </c>
      <c r="AA6" s="65" t="s">
        <v>90</v>
      </c>
      <c r="AB6" s="63" t="s">
        <v>90</v>
      </c>
      <c r="AC6" s="63"/>
      <c r="AD6" s="63"/>
      <c r="AG6" s="65"/>
      <c r="AH6" s="65"/>
      <c r="AI6" s="65"/>
      <c r="AJ6" s="65"/>
      <c r="AK6" s="65"/>
    </row>
    <row r="7" spans="1:39" ht="24" x14ac:dyDescent="0.35">
      <c r="C7" s="32" t="s">
        <v>403</v>
      </c>
      <c r="F7" s="32" t="s">
        <v>323</v>
      </c>
      <c r="G7" s="32">
        <v>0.05</v>
      </c>
      <c r="H7" s="63">
        <f>X7</f>
        <v>1.4398966328953221E-16</v>
      </c>
      <c r="I7" s="112">
        <f>X7/S7*POWER(10,15)</f>
        <v>550.00000000000011</v>
      </c>
      <c r="N7" s="32">
        <v>2.2000000000000002</v>
      </c>
      <c r="Q7" s="65">
        <v>0.05</v>
      </c>
      <c r="R7" s="65">
        <v>0.05</v>
      </c>
      <c r="S7" s="97">
        <f>4/3*PI()*(Q7/2)*POWER(R7,2)</f>
        <v>2.6179938779914946E-4</v>
      </c>
      <c r="T7" s="69">
        <f>((Q7*(POWER(R7,2))*PI())/6)/1000000</f>
        <v>6.5449846949787371E-11</v>
      </c>
      <c r="U7" s="69">
        <f>T7*N7</f>
        <v>1.4398966328953222E-10</v>
      </c>
      <c r="V7" s="63"/>
      <c r="W7" s="63"/>
      <c r="X7" s="63">
        <f>U7/POWER(10,6)</f>
        <v>1.4398966328953221E-16</v>
      </c>
      <c r="AA7" s="65"/>
      <c r="AB7" s="63"/>
      <c r="AC7" s="63"/>
      <c r="AD7" s="63"/>
      <c r="AG7" s="65"/>
      <c r="AH7" s="65"/>
      <c r="AI7" s="65"/>
      <c r="AJ7" s="65"/>
      <c r="AK7" s="65"/>
    </row>
    <row r="8" spans="1:39" x14ac:dyDescent="0.35">
      <c r="C8" s="73" t="s">
        <v>404</v>
      </c>
      <c r="D8" s="73"/>
      <c r="E8" s="73"/>
      <c r="F8" s="73"/>
      <c r="G8" s="73"/>
      <c r="H8" s="73"/>
      <c r="I8" s="110"/>
      <c r="J8" s="73"/>
      <c r="K8" s="73"/>
      <c r="L8" s="73"/>
      <c r="M8" s="73"/>
      <c r="N8" s="73"/>
      <c r="O8" s="73"/>
      <c r="P8" s="73"/>
      <c r="Q8" s="73"/>
      <c r="R8" s="76"/>
      <c r="S8" s="73"/>
      <c r="T8" s="77"/>
      <c r="U8" s="78"/>
      <c r="V8" s="74"/>
      <c r="W8" s="74"/>
      <c r="X8" s="75"/>
      <c r="Z8" s="75"/>
      <c r="AA8" s="78"/>
      <c r="AB8" s="74"/>
      <c r="AC8" s="75"/>
      <c r="AD8" s="75"/>
      <c r="AE8" s="73"/>
      <c r="AF8" s="73"/>
      <c r="AG8" s="101"/>
      <c r="AH8" s="101"/>
      <c r="AI8" s="73"/>
      <c r="AJ8" s="73"/>
      <c r="AK8" s="73"/>
    </row>
    <row r="9" spans="1:39" ht="24.65" customHeight="1" x14ac:dyDescent="0.35">
      <c r="C9" s="32" t="s">
        <v>405</v>
      </c>
      <c r="D9" s="32" t="s">
        <v>391</v>
      </c>
      <c r="E9" s="32" t="s">
        <v>406</v>
      </c>
      <c r="F9" s="32" t="s">
        <v>329</v>
      </c>
      <c r="G9" s="32">
        <v>1</v>
      </c>
      <c r="H9" s="63">
        <f t="shared" ref="H9:H20" si="0">X9</f>
        <v>7.1994831644766095E-14</v>
      </c>
      <c r="I9" s="105">
        <f>X9/S9*POWER(10,15)</f>
        <v>34.375000000000007</v>
      </c>
      <c r="J9" s="32" t="s">
        <v>407</v>
      </c>
      <c r="K9" s="32" t="s">
        <v>408</v>
      </c>
      <c r="L9" s="32" t="s">
        <v>408</v>
      </c>
      <c r="N9" s="32">
        <v>1.1000000000000001</v>
      </c>
      <c r="Q9" s="32">
        <v>1</v>
      </c>
      <c r="R9" s="70">
        <v>1</v>
      </c>
      <c r="S9" s="71">
        <f>4/3*PI()*(Q9/2)*POWER(R9,2)</f>
        <v>2.0943951023931953</v>
      </c>
      <c r="T9" s="69">
        <f>((Q9*(POWER(R9,2))*PI())/6)/1000000</f>
        <v>5.2359877559829882E-7</v>
      </c>
      <c r="U9" s="69">
        <f>T9*1.1</f>
        <v>5.7595865315812878E-7</v>
      </c>
      <c r="V9" s="63">
        <f>U9*0.25</f>
        <v>1.439896632895322E-7</v>
      </c>
      <c r="W9" s="63">
        <f>V9*0.5</f>
        <v>7.1994831644766098E-8</v>
      </c>
      <c r="X9" s="63">
        <f>W9/1000000</f>
        <v>7.1994831644766095E-14</v>
      </c>
      <c r="Z9" s="32" t="s">
        <v>409</v>
      </c>
      <c r="AA9" s="69" t="s">
        <v>90</v>
      </c>
      <c r="AB9" s="63" t="s">
        <v>90</v>
      </c>
      <c r="AC9" s="63"/>
      <c r="AD9" s="63"/>
      <c r="AG9" s="67"/>
      <c r="AH9" s="67"/>
    </row>
    <row r="10" spans="1:39" ht="36" x14ac:dyDescent="0.35">
      <c r="C10" s="32" t="s">
        <v>80</v>
      </c>
      <c r="D10" s="32" t="s">
        <v>120</v>
      </c>
      <c r="E10" s="32" t="s">
        <v>410</v>
      </c>
      <c r="F10" s="32" t="s">
        <v>90</v>
      </c>
      <c r="G10" s="106" t="s">
        <v>411</v>
      </c>
      <c r="H10" s="63">
        <f t="shared" si="0"/>
        <v>2.0000000000000003E-14</v>
      </c>
      <c r="I10" s="105" t="s">
        <v>90</v>
      </c>
      <c r="J10" s="32" t="s">
        <v>90</v>
      </c>
      <c r="K10" s="32" t="s">
        <v>408</v>
      </c>
      <c r="L10" s="32" t="s">
        <v>408</v>
      </c>
      <c r="M10" s="32" t="s">
        <v>90</v>
      </c>
      <c r="N10" s="32" t="s">
        <v>90</v>
      </c>
      <c r="Q10" s="32">
        <v>1</v>
      </c>
      <c r="R10" s="32">
        <v>1</v>
      </c>
      <c r="S10" s="69" t="s">
        <v>412</v>
      </c>
      <c r="T10" s="69" t="s">
        <v>90</v>
      </c>
      <c r="U10" s="70" t="s">
        <v>90</v>
      </c>
      <c r="V10" s="63" t="s">
        <v>90</v>
      </c>
      <c r="W10" s="63" t="s">
        <v>90</v>
      </c>
      <c r="X10" s="63">
        <f>20*POWER(10,-15)</f>
        <v>2.0000000000000003E-14</v>
      </c>
      <c r="Z10" s="32" t="s">
        <v>90</v>
      </c>
      <c r="AA10" s="70" t="s">
        <v>90</v>
      </c>
      <c r="AB10" s="63" t="s">
        <v>90</v>
      </c>
      <c r="AC10" s="63"/>
      <c r="AD10" s="63"/>
      <c r="AG10" s="67"/>
      <c r="AH10" s="67"/>
    </row>
    <row r="11" spans="1:39" ht="48" x14ac:dyDescent="0.35">
      <c r="C11" s="32" t="s">
        <v>80</v>
      </c>
      <c r="D11" s="32" t="s">
        <v>413</v>
      </c>
      <c r="E11" s="32" t="s">
        <v>414</v>
      </c>
      <c r="F11" s="32" t="s">
        <v>415</v>
      </c>
      <c r="G11" s="106" t="s">
        <v>411</v>
      </c>
      <c r="H11" s="63">
        <f t="shared" si="0"/>
        <v>1.3299408900196789E-14</v>
      </c>
      <c r="I11" s="105">
        <f t="shared" ref="I11:I20" si="1">X11/S11*POWER(10,15)</f>
        <v>6.35</v>
      </c>
      <c r="J11" s="32" t="s">
        <v>416</v>
      </c>
      <c r="K11" s="32" t="s">
        <v>408</v>
      </c>
      <c r="L11" s="32" t="s">
        <v>408</v>
      </c>
      <c r="M11" s="32" t="s">
        <v>417</v>
      </c>
      <c r="N11" s="32" t="s">
        <v>90</v>
      </c>
      <c r="O11" s="32">
        <v>6.35</v>
      </c>
      <c r="Q11" s="32">
        <v>1</v>
      </c>
      <c r="R11" s="32">
        <v>1</v>
      </c>
      <c r="S11" s="69">
        <f>4/3*PI()*(Q11/2)*POWER(R11,2)</f>
        <v>2.0943951023931953</v>
      </c>
      <c r="T11" s="69"/>
      <c r="U11" s="70"/>
      <c r="V11" s="63"/>
      <c r="W11" s="63">
        <f>AB11*POWER(10,-9)</f>
        <v>1.329940890019679E-8</v>
      </c>
      <c r="X11" s="63">
        <f>W11/1000000</f>
        <v>1.3299408900196789E-14</v>
      </c>
      <c r="Z11" s="32" t="s">
        <v>418</v>
      </c>
      <c r="AA11" s="70" t="s">
        <v>90</v>
      </c>
      <c r="AB11" s="63">
        <f>S11*O11</f>
        <v>13.29940890019679</v>
      </c>
      <c r="AC11" s="63"/>
      <c r="AD11" s="63"/>
      <c r="AG11" s="63"/>
      <c r="AH11" s="63"/>
    </row>
    <row r="12" spans="1:39" ht="24" x14ac:dyDescent="0.35">
      <c r="C12" s="32" t="s">
        <v>419</v>
      </c>
      <c r="D12" s="32" t="s">
        <v>420</v>
      </c>
      <c r="E12" s="32" t="s">
        <v>421</v>
      </c>
      <c r="F12" s="32" t="s">
        <v>323</v>
      </c>
      <c r="G12" s="106" t="s">
        <v>411</v>
      </c>
      <c r="H12" s="63">
        <f t="shared" si="0"/>
        <v>2.5342180738957663E-13</v>
      </c>
      <c r="I12" s="105">
        <f t="shared" si="1"/>
        <v>120.99999999999999</v>
      </c>
      <c r="J12" s="32" t="s">
        <v>407</v>
      </c>
      <c r="K12" s="32" t="s">
        <v>408</v>
      </c>
      <c r="L12" s="32" t="s">
        <v>408</v>
      </c>
      <c r="M12" s="32" t="s">
        <v>417</v>
      </c>
      <c r="N12" s="32" t="s">
        <v>90</v>
      </c>
      <c r="O12" s="32">
        <f>1.21*POWER(10,-13)</f>
        <v>1.2099999999999999E-13</v>
      </c>
      <c r="Q12" s="32">
        <v>1</v>
      </c>
      <c r="R12" s="32">
        <v>1</v>
      </c>
      <c r="S12" s="69">
        <f>4/3*PI()*(Q12/2)*POWER(R12,2)</f>
        <v>2.0943951023931953</v>
      </c>
      <c r="T12" s="69">
        <f>((Q12*(POWER(R12,2))*PI())/6)/1000000</f>
        <v>5.2359877559829882E-7</v>
      </c>
      <c r="U12" s="65" t="s">
        <v>90</v>
      </c>
      <c r="V12" s="65" t="s">
        <v>90</v>
      </c>
      <c r="W12" s="63" t="s">
        <v>90</v>
      </c>
      <c r="X12" s="63">
        <f>O12*S12</f>
        <v>2.5342180738957663E-13</v>
      </c>
      <c r="Z12" s="32" t="s">
        <v>422</v>
      </c>
      <c r="AA12" s="65" t="s">
        <v>90</v>
      </c>
      <c r="AB12" s="65" t="s">
        <v>90</v>
      </c>
      <c r="AC12" s="63"/>
      <c r="AD12" s="63"/>
      <c r="AG12" s="65"/>
      <c r="AH12" s="65"/>
    </row>
    <row r="13" spans="1:39" x14ac:dyDescent="0.35">
      <c r="C13" s="32" t="s">
        <v>80</v>
      </c>
      <c r="D13" s="32" t="s">
        <v>91</v>
      </c>
      <c r="E13" s="32" t="s">
        <v>423</v>
      </c>
      <c r="F13" s="32" t="s">
        <v>90</v>
      </c>
      <c r="G13" s="106" t="s">
        <v>90</v>
      </c>
      <c r="H13" s="63">
        <f>2*POWER(10,-14)</f>
        <v>2E-14</v>
      </c>
      <c r="I13" s="67">
        <f>AA13</f>
        <v>0.1</v>
      </c>
      <c r="S13" s="69">
        <v>0.2</v>
      </c>
      <c r="T13" s="69"/>
      <c r="U13" s="65"/>
      <c r="V13" s="65"/>
      <c r="W13" s="63"/>
      <c r="X13" s="63"/>
      <c r="AA13" s="63">
        <f>100/1000</f>
        <v>0.1</v>
      </c>
      <c r="AB13" s="65"/>
      <c r="AC13" s="63"/>
      <c r="AD13" s="63"/>
      <c r="AG13" s="65"/>
      <c r="AH13" s="65"/>
    </row>
    <row r="14" spans="1:39" ht="24" x14ac:dyDescent="0.35">
      <c r="C14" s="32" t="s">
        <v>80</v>
      </c>
      <c r="D14" s="32" t="s">
        <v>424</v>
      </c>
      <c r="E14" s="32" t="s">
        <v>425</v>
      </c>
      <c r="F14" s="32" t="s">
        <v>393</v>
      </c>
      <c r="G14" s="106" t="s">
        <v>411</v>
      </c>
      <c r="H14" s="63">
        <f t="shared" si="0"/>
        <v>2.0943951023931954E-13</v>
      </c>
      <c r="I14" s="105">
        <f t="shared" si="1"/>
        <v>100</v>
      </c>
      <c r="J14" s="32" t="s">
        <v>407</v>
      </c>
      <c r="K14" s="32" t="s">
        <v>408</v>
      </c>
      <c r="L14" s="32" t="s">
        <v>408</v>
      </c>
      <c r="M14" s="32" t="s">
        <v>90</v>
      </c>
      <c r="N14" s="32" t="s">
        <v>90</v>
      </c>
      <c r="O14" s="32">
        <v>100</v>
      </c>
      <c r="Q14" s="32">
        <v>1</v>
      </c>
      <c r="R14" s="32">
        <v>1</v>
      </c>
      <c r="S14" s="69">
        <f>4/3*PI()*(Q14/2)*POWER(R14,2)</f>
        <v>2.0943951023931953</v>
      </c>
      <c r="T14" s="69" t="s">
        <v>90</v>
      </c>
      <c r="U14" s="65" t="s">
        <v>90</v>
      </c>
      <c r="V14" s="69" t="s">
        <v>90</v>
      </c>
      <c r="W14" s="63">
        <f>AB14*POWER(10,-9)</f>
        <v>2.0943951023931955E-7</v>
      </c>
      <c r="X14" s="63">
        <f>W14/1000000</f>
        <v>2.0943951023931954E-13</v>
      </c>
      <c r="Z14" s="32" t="s">
        <v>418</v>
      </c>
      <c r="AA14" s="65" t="s">
        <v>90</v>
      </c>
      <c r="AB14" s="65">
        <f>S14*O14</f>
        <v>209.43951023931953</v>
      </c>
      <c r="AC14" s="63"/>
      <c r="AD14" s="63"/>
      <c r="AF14" s="63"/>
      <c r="AG14" s="63"/>
      <c r="AH14" s="63"/>
    </row>
    <row r="15" spans="1:39" ht="24" x14ac:dyDescent="0.35">
      <c r="C15" s="32" t="s">
        <v>80</v>
      </c>
      <c r="D15" s="32" t="s">
        <v>426</v>
      </c>
      <c r="E15" s="32" t="s">
        <v>427</v>
      </c>
      <c r="F15" s="32" t="s">
        <v>393</v>
      </c>
      <c r="G15" s="106" t="s">
        <v>411</v>
      </c>
      <c r="H15" s="63">
        <f t="shared" si="0"/>
        <v>6.4926248174189057E-13</v>
      </c>
      <c r="I15" s="105">
        <f t="shared" si="1"/>
        <v>310</v>
      </c>
      <c r="J15" s="32" t="s">
        <v>407</v>
      </c>
      <c r="K15" s="32" t="s">
        <v>408</v>
      </c>
      <c r="L15" s="32" t="s">
        <v>408</v>
      </c>
      <c r="M15" s="32" t="s">
        <v>90</v>
      </c>
      <c r="N15" s="32" t="s">
        <v>90</v>
      </c>
      <c r="O15" s="32">
        <v>310</v>
      </c>
      <c r="Q15" s="32">
        <v>1</v>
      </c>
      <c r="R15" s="32">
        <v>1</v>
      </c>
      <c r="S15" s="69">
        <f>4/3*PI()*(Q15/2)*POWER(R15,2)</f>
        <v>2.0943951023931953</v>
      </c>
      <c r="T15" s="69" t="s">
        <v>90</v>
      </c>
      <c r="U15" s="65" t="s">
        <v>90</v>
      </c>
      <c r="V15" s="69" t="s">
        <v>90</v>
      </c>
      <c r="W15" s="63">
        <f>AB15*POWER(10,-9)</f>
        <v>6.4926248174189057E-7</v>
      </c>
      <c r="X15" s="63">
        <f>W15/1000000</f>
        <v>6.4926248174189057E-13</v>
      </c>
      <c r="Z15" s="32" t="s">
        <v>418</v>
      </c>
      <c r="AA15" s="65" t="s">
        <v>90</v>
      </c>
      <c r="AB15" s="65">
        <f>S15*O15</f>
        <v>649.2624817418905</v>
      </c>
      <c r="AC15" s="63"/>
      <c r="AD15" s="63"/>
      <c r="AG15" s="63"/>
      <c r="AH15" s="63">
        <f>310*S15</f>
        <v>649.2624817418905</v>
      </c>
    </row>
    <row r="16" spans="1:39" ht="96" x14ac:dyDescent="0.35">
      <c r="C16" s="32" t="s">
        <v>80</v>
      </c>
      <c r="D16" s="32" t="s">
        <v>428</v>
      </c>
      <c r="E16" s="32" t="s">
        <v>429</v>
      </c>
      <c r="F16" s="32" t="s">
        <v>430</v>
      </c>
      <c r="G16" s="106" t="s">
        <v>411</v>
      </c>
      <c r="H16" s="63">
        <f t="shared" si="0"/>
        <v>7.4003466526120022E-14</v>
      </c>
      <c r="I16" s="105">
        <f t="shared" si="1"/>
        <v>35.334052510702847</v>
      </c>
      <c r="J16" s="32" t="s">
        <v>407</v>
      </c>
      <c r="K16" s="32" t="s">
        <v>408</v>
      </c>
      <c r="L16" s="32" t="s">
        <v>408</v>
      </c>
      <c r="M16" s="32" t="s">
        <v>90</v>
      </c>
      <c r="N16" s="32" t="s">
        <v>90</v>
      </c>
      <c r="Q16" s="32">
        <v>1</v>
      </c>
      <c r="R16" s="32">
        <v>1</v>
      </c>
      <c r="S16" s="69">
        <f>4/3*PI()*(Q16/2)*POWER(R16,2)</f>
        <v>2.0943951023931953</v>
      </c>
      <c r="T16" s="69"/>
      <c r="U16" s="63"/>
      <c r="V16" s="65"/>
      <c r="W16" s="63">
        <f>AB16*POWER(10,-9)</f>
        <v>7.4003466526120024E-8</v>
      </c>
      <c r="X16" s="63">
        <f>W16/1000000</f>
        <v>7.4003466526120022E-14</v>
      </c>
      <c r="Z16" s="32" t="s">
        <v>418</v>
      </c>
      <c r="AA16" s="63" t="s">
        <v>90</v>
      </c>
      <c r="AB16" s="65">
        <f>AC16*54/100</f>
        <v>74.003466526120022</v>
      </c>
      <c r="AC16" s="63">
        <f>88.6*POWER(S16,0.59)</f>
        <v>137.04345652985188</v>
      </c>
      <c r="AD16" s="63"/>
      <c r="AG16" s="63"/>
      <c r="AH16" s="63"/>
    </row>
    <row r="17" spans="3:37" ht="60" x14ac:dyDescent="0.35">
      <c r="C17" s="32" t="s">
        <v>431</v>
      </c>
      <c r="D17" s="32" t="s">
        <v>109</v>
      </c>
      <c r="E17" s="32" t="s">
        <v>432</v>
      </c>
      <c r="F17" s="32" t="s">
        <v>433</v>
      </c>
      <c r="G17" s="106" t="s">
        <v>411</v>
      </c>
      <c r="H17" s="63">
        <f t="shared" si="0"/>
        <v>1.246803682957832E-13</v>
      </c>
      <c r="I17" s="105">
        <f t="shared" si="1"/>
        <v>238.12196304950317</v>
      </c>
      <c r="J17" s="32" t="s">
        <v>407</v>
      </c>
      <c r="K17" s="32" t="s">
        <v>408</v>
      </c>
      <c r="L17" s="32" t="s">
        <v>408</v>
      </c>
      <c r="M17" s="32" t="s">
        <v>90</v>
      </c>
      <c r="N17" s="32" t="s">
        <v>90</v>
      </c>
      <c r="Q17" s="32">
        <v>1</v>
      </c>
      <c r="R17" s="32">
        <v>1</v>
      </c>
      <c r="S17" s="69">
        <f>((POWER(R17,2)*PI()/4)*(Q17-R17)+PI()*POWER(R17,3)/6)</f>
        <v>0.52359877559829882</v>
      </c>
      <c r="T17" s="69" t="s">
        <v>90</v>
      </c>
      <c r="U17" s="70" t="s">
        <v>90</v>
      </c>
      <c r="V17" s="63">
        <f>AA17*POWER(10,-9)</f>
        <v>2.4936073659156641E-7</v>
      </c>
      <c r="W17" s="63">
        <f>V17*0.5</f>
        <v>1.246803682957832E-7</v>
      </c>
      <c r="X17" s="63">
        <f>W17/1000000</f>
        <v>1.246803682957832E-13</v>
      </c>
      <c r="Y17" s="80"/>
      <c r="Z17" s="32" t="s">
        <v>418</v>
      </c>
      <c r="AA17" s="63">
        <f>435*POWER(S17,0.86)</f>
        <v>249.36073659156639</v>
      </c>
      <c r="AB17" s="63" t="s">
        <v>90</v>
      </c>
      <c r="AC17" s="63"/>
      <c r="AD17" s="63"/>
      <c r="AG17" s="63"/>
      <c r="AH17" s="63"/>
    </row>
    <row r="18" spans="3:37" ht="24" x14ac:dyDescent="0.35">
      <c r="C18" s="32" t="s">
        <v>80</v>
      </c>
      <c r="D18" s="32" t="s">
        <v>434</v>
      </c>
      <c r="E18" s="32" t="s">
        <v>435</v>
      </c>
      <c r="F18" s="32" t="s">
        <v>436</v>
      </c>
      <c r="G18" s="106" t="s">
        <v>411</v>
      </c>
      <c r="H18" s="63">
        <f t="shared" si="0"/>
        <v>1.1728612573401891E-12</v>
      </c>
      <c r="I18" s="105">
        <f t="shared" si="1"/>
        <v>559.99999999999989</v>
      </c>
      <c r="J18" s="32" t="s">
        <v>437</v>
      </c>
      <c r="K18" s="32" t="s">
        <v>408</v>
      </c>
      <c r="L18" s="32" t="s">
        <v>408</v>
      </c>
      <c r="M18" s="32" t="s">
        <v>90</v>
      </c>
      <c r="N18" s="32" t="s">
        <v>90</v>
      </c>
      <c r="O18" s="32">
        <f>5.6*POWER(10,-13)</f>
        <v>5.5999999999999994E-13</v>
      </c>
      <c r="Q18" s="32">
        <v>1</v>
      </c>
      <c r="R18" s="32">
        <v>1</v>
      </c>
      <c r="S18" s="69">
        <f>4/3*PI()*(Q18/2)*POWER(R18,2)</f>
        <v>2.0943951023931953</v>
      </c>
      <c r="T18" s="69">
        <f>((Q18*(POWER(R18,2))*PI())/6)/1000000</f>
        <v>5.2359877559829882E-7</v>
      </c>
      <c r="U18" s="65" t="s">
        <v>90</v>
      </c>
      <c r="V18" s="65" t="s">
        <v>90</v>
      </c>
      <c r="W18" s="63" t="s">
        <v>90</v>
      </c>
      <c r="X18" s="63">
        <f>O18*S18</f>
        <v>1.1728612573401891E-12</v>
      </c>
      <c r="AA18" s="65" t="s">
        <v>90</v>
      </c>
      <c r="AB18" s="65" t="s">
        <v>90</v>
      </c>
      <c r="AC18" s="63"/>
      <c r="AD18" s="63"/>
      <c r="AG18" s="63"/>
      <c r="AH18" s="63"/>
    </row>
    <row r="19" spans="3:37" ht="24" x14ac:dyDescent="0.35">
      <c r="C19" s="32" t="s">
        <v>80</v>
      </c>
      <c r="D19" s="32" t="s">
        <v>438</v>
      </c>
      <c r="E19" s="32" t="s">
        <v>439</v>
      </c>
      <c r="F19" s="32" t="s">
        <v>393</v>
      </c>
      <c r="G19" s="106" t="s">
        <v>411</v>
      </c>
      <c r="H19" s="63">
        <f t="shared" si="0"/>
        <v>4.6076692252650288E-13</v>
      </c>
      <c r="I19" s="105">
        <f t="shared" si="1"/>
        <v>219.99999999999997</v>
      </c>
      <c r="J19" s="32" t="s">
        <v>407</v>
      </c>
      <c r="K19" s="32" t="s">
        <v>408</v>
      </c>
      <c r="L19" s="32" t="s">
        <v>408</v>
      </c>
      <c r="M19" s="32" t="s">
        <v>90</v>
      </c>
      <c r="N19" s="32">
        <v>1.1000000000000001</v>
      </c>
      <c r="Q19" s="32">
        <v>1</v>
      </c>
      <c r="R19" s="32">
        <v>1</v>
      </c>
      <c r="S19" s="69">
        <f>4/3*PI()*(Q19/2)*POWER(R19,2)</f>
        <v>2.0943951023931953</v>
      </c>
      <c r="T19" s="69">
        <f>((Q19*(POWER(R19,2))*PI())/6)/1000000</f>
        <v>5.2359877559829882E-7</v>
      </c>
      <c r="U19" s="70">
        <f>T19*1.1</f>
        <v>5.7595865315812878E-7</v>
      </c>
      <c r="V19" s="63">
        <f>U19*0.4</f>
        <v>2.3038346126325152E-7</v>
      </c>
      <c r="W19" s="63" t="s">
        <v>90</v>
      </c>
      <c r="X19" s="63">
        <f>0.22*AD19</f>
        <v>4.6076692252650288E-13</v>
      </c>
      <c r="Z19" s="32" t="s">
        <v>418</v>
      </c>
      <c r="AA19" s="70"/>
      <c r="AB19" s="63" t="s">
        <v>90</v>
      </c>
      <c r="AC19" s="63"/>
      <c r="AD19" s="63">
        <f>S19*POWER(10,-12)</f>
        <v>2.0943951023931951E-12</v>
      </c>
      <c r="AG19" s="63"/>
      <c r="AH19" s="63"/>
    </row>
    <row r="20" spans="3:37" ht="24" x14ac:dyDescent="0.35">
      <c r="C20" s="32" t="s">
        <v>403</v>
      </c>
      <c r="F20" s="32" t="s">
        <v>440</v>
      </c>
      <c r="G20" s="32" t="s">
        <v>441</v>
      </c>
      <c r="H20" s="63">
        <f t="shared" si="0"/>
        <v>1.1519173063162575E-12</v>
      </c>
      <c r="I20" s="111">
        <f t="shared" si="1"/>
        <v>550.00000000000011</v>
      </c>
      <c r="N20" s="32">
        <v>2.2000000000000002</v>
      </c>
      <c r="Q20" s="32">
        <v>1</v>
      </c>
      <c r="R20" s="70">
        <v>1</v>
      </c>
      <c r="S20" s="97">
        <f>4/3*PI()*(Q20/2)*POWER(R20,2)</f>
        <v>2.0943951023931953</v>
      </c>
      <c r="T20" s="69">
        <f>((Q20*(POWER(R20,2))*PI())/6)/1000000</f>
        <v>5.2359877559829882E-7</v>
      </c>
      <c r="U20" s="69">
        <f>T20*N20</f>
        <v>1.1519173063162576E-6</v>
      </c>
      <c r="V20" s="63"/>
      <c r="W20" s="63"/>
      <c r="X20" s="63">
        <f>U20/POWER(10,6)</f>
        <v>1.1519173063162575E-12</v>
      </c>
      <c r="AA20" s="70"/>
      <c r="AB20" s="63"/>
      <c r="AC20" s="63"/>
      <c r="AD20" s="63"/>
      <c r="AG20" s="63"/>
      <c r="AH20" s="63"/>
    </row>
    <row r="21" spans="3:37" x14ac:dyDescent="0.35">
      <c r="C21" s="73" t="s">
        <v>133</v>
      </c>
      <c r="D21" s="73"/>
      <c r="E21" s="73"/>
      <c r="F21" s="73"/>
      <c r="G21" s="73"/>
      <c r="H21" s="73"/>
      <c r="I21" s="110"/>
      <c r="J21" s="73"/>
      <c r="K21" s="73"/>
      <c r="L21" s="73"/>
      <c r="M21" s="73"/>
      <c r="N21" s="73"/>
      <c r="O21" s="73"/>
      <c r="P21" s="73"/>
      <c r="Q21" s="73"/>
      <c r="R21" s="76"/>
      <c r="S21" s="73"/>
      <c r="T21" s="77"/>
      <c r="U21" s="78"/>
      <c r="V21" s="74"/>
      <c r="W21" s="74"/>
      <c r="X21" s="75"/>
      <c r="Z21" s="75"/>
      <c r="AA21" s="78"/>
      <c r="AB21" s="74"/>
      <c r="AC21" s="75"/>
      <c r="AD21" s="75"/>
      <c r="AE21" s="73"/>
      <c r="AF21" s="73"/>
      <c r="AG21" s="101"/>
      <c r="AH21" s="101"/>
      <c r="AI21" s="73"/>
      <c r="AJ21" s="73"/>
      <c r="AK21" s="73"/>
    </row>
    <row r="22" spans="3:37" ht="28" customHeight="1" x14ac:dyDescent="0.35">
      <c r="C22" s="32" t="s">
        <v>442</v>
      </c>
      <c r="D22" s="32" t="s">
        <v>443</v>
      </c>
      <c r="E22" s="32" t="s">
        <v>444</v>
      </c>
      <c r="F22" s="32" t="s">
        <v>329</v>
      </c>
      <c r="G22" s="32">
        <v>50</v>
      </c>
      <c r="H22" s="63">
        <f t="shared" ref="H22:H32" si="2">X22</f>
        <v>7.9994257383073453E-10</v>
      </c>
      <c r="I22" s="105">
        <f>X22/S22*POWER(10,15)</f>
        <v>27.500000000000004</v>
      </c>
      <c r="J22" s="32" t="s">
        <v>329</v>
      </c>
      <c r="K22" s="32" t="s">
        <v>408</v>
      </c>
      <c r="L22" s="32" t="s">
        <v>408</v>
      </c>
      <c r="M22" s="32" t="s">
        <v>90</v>
      </c>
      <c r="N22" s="32" t="s">
        <v>90</v>
      </c>
      <c r="Q22" s="32">
        <v>50</v>
      </c>
      <c r="R22" s="70">
        <f>Q22/3</f>
        <v>16.666666666666668</v>
      </c>
      <c r="S22" s="69">
        <f>4/3*PI()*(Q22/2)*POWER(R22,2)</f>
        <v>29088.820866572161</v>
      </c>
      <c r="T22" s="71">
        <f>((Q22*(POWER(R22,2))*PI())/6)/1000000</f>
        <v>7.2722052166430406E-3</v>
      </c>
      <c r="U22" s="93">
        <f>T22*1.1</f>
        <v>7.9994257383073451E-3</v>
      </c>
      <c r="V22" s="94">
        <f>U22*0.25</f>
        <v>1.9998564345768363E-3</v>
      </c>
      <c r="W22" s="63">
        <f>V22*0.4</f>
        <v>7.9994257383073455E-4</v>
      </c>
      <c r="X22" s="63">
        <f>W22/1000000</f>
        <v>7.9994257383073453E-10</v>
      </c>
      <c r="Y22" s="80"/>
      <c r="Z22" s="32" t="s">
        <v>409</v>
      </c>
      <c r="AA22" s="93"/>
      <c r="AB22" s="94" t="s">
        <v>90</v>
      </c>
      <c r="AC22" s="63"/>
      <c r="AD22" s="63"/>
      <c r="AG22" s="94"/>
      <c r="AH22" s="94"/>
    </row>
    <row r="23" spans="3:37" ht="28" customHeight="1" x14ac:dyDescent="0.35">
      <c r="C23" s="106" t="s">
        <v>445</v>
      </c>
      <c r="D23" s="32" t="s">
        <v>446</v>
      </c>
      <c r="E23" s="32" t="s">
        <v>447</v>
      </c>
      <c r="H23" s="63"/>
      <c r="R23" s="70"/>
      <c r="S23" s="69">
        <v>4</v>
      </c>
      <c r="T23" s="71"/>
      <c r="U23" s="93"/>
      <c r="V23" s="94"/>
      <c r="W23" s="63"/>
      <c r="X23" s="63">
        <f>0.8*POWER(10,-12)</f>
        <v>8.0000000000000002E-13</v>
      </c>
      <c r="Y23" s="80"/>
      <c r="AA23" s="93"/>
      <c r="AB23" s="94"/>
      <c r="AC23" s="63"/>
      <c r="AD23" s="63"/>
      <c r="AG23" s="94"/>
      <c r="AH23" s="94"/>
    </row>
    <row r="24" spans="3:37" ht="24" x14ac:dyDescent="0.35">
      <c r="C24" s="32" t="s">
        <v>448</v>
      </c>
      <c r="D24" s="32" t="s">
        <v>449</v>
      </c>
      <c r="E24" s="32" t="s">
        <v>450</v>
      </c>
      <c r="F24" s="32" t="s">
        <v>393</v>
      </c>
      <c r="G24" s="106" t="s">
        <v>411</v>
      </c>
      <c r="H24" s="63">
        <f t="shared" si="2"/>
        <v>3.4759138852464466E-9</v>
      </c>
      <c r="I24" s="105">
        <f>X24/S24*POWER(10,15)</f>
        <v>119.49311734532503</v>
      </c>
      <c r="K24" s="32" t="s">
        <v>408</v>
      </c>
      <c r="L24" s="32" t="s">
        <v>408</v>
      </c>
      <c r="M24" s="32" t="s">
        <v>90</v>
      </c>
      <c r="N24" s="32" t="s">
        <v>90</v>
      </c>
      <c r="Q24" s="32">
        <v>50</v>
      </c>
      <c r="R24" s="70">
        <f t="shared" ref="R24:R32" si="3">Q24/3</f>
        <v>16.666666666666668</v>
      </c>
      <c r="S24" s="69">
        <f>4/3*PI()*(Q24/2)*POWER(R24,2)</f>
        <v>29088.820866572161</v>
      </c>
      <c r="T24" s="71">
        <f>((Q24*(POWER(R24,2))*PI())/6)/1000000</f>
        <v>7.2722052166430406E-3</v>
      </c>
      <c r="U24" s="72" t="s">
        <v>90</v>
      </c>
      <c r="V24" s="67" t="s">
        <v>386</v>
      </c>
      <c r="W24" s="63">
        <f>AG24*POWER(10,-6)</f>
        <v>3.4759138852464466E-3</v>
      </c>
      <c r="X24" s="63">
        <f>W24/1000000</f>
        <v>3.4759138852464466E-9</v>
      </c>
      <c r="AA24" s="72"/>
      <c r="AB24" s="67" t="s">
        <v>90</v>
      </c>
      <c r="AC24" s="63"/>
      <c r="AD24" s="63"/>
      <c r="AG24" s="63">
        <f>0.76*POWER(S24,0.82)</f>
        <v>3475.9138852464466</v>
      </c>
      <c r="AH24" s="63"/>
    </row>
    <row r="25" spans="3:37" ht="24" x14ac:dyDescent="0.35">
      <c r="C25" s="32" t="s">
        <v>451</v>
      </c>
      <c r="D25" s="32" t="s">
        <v>449</v>
      </c>
      <c r="E25" s="32" t="s">
        <v>452</v>
      </c>
      <c r="F25" s="32" t="s">
        <v>393</v>
      </c>
      <c r="G25" s="106" t="s">
        <v>411</v>
      </c>
      <c r="H25" s="63">
        <f t="shared" si="2"/>
        <v>1.2008102015234342E-9</v>
      </c>
      <c r="I25" s="105">
        <f>X25/S25*POWER(10,15)</f>
        <v>41.280813926127976</v>
      </c>
      <c r="J25" s="32" t="s">
        <v>407</v>
      </c>
      <c r="K25" s="32" t="s">
        <v>408</v>
      </c>
      <c r="L25" s="32" t="s">
        <v>408</v>
      </c>
      <c r="M25" s="32" t="s">
        <v>90</v>
      </c>
      <c r="N25" s="32" t="s">
        <v>90</v>
      </c>
      <c r="Q25" s="32">
        <v>50</v>
      </c>
      <c r="R25" s="70">
        <f t="shared" si="3"/>
        <v>16.666666666666668</v>
      </c>
      <c r="S25" s="69">
        <f>4/3*PI()*(Q25/2)*POWER(R25,2)</f>
        <v>29088.820866572161</v>
      </c>
      <c r="T25" s="71">
        <f>((Q25*(POWER(R25,2))*PI())/6)/1000000</f>
        <v>7.2722052166430406E-3</v>
      </c>
      <c r="U25" s="72" t="s">
        <v>90</v>
      </c>
      <c r="V25" s="67" t="s">
        <v>90</v>
      </c>
      <c r="W25" s="63">
        <f t="shared" ref="W25:W26" si="4">AG25*POWER(10,-6)</f>
        <v>1.2008102015234343E-3</v>
      </c>
      <c r="X25" s="63">
        <f>W25/1000000</f>
        <v>1.2008102015234342E-9</v>
      </c>
      <c r="Z25" s="32" t="s">
        <v>409</v>
      </c>
      <c r="AA25" s="72"/>
      <c r="AB25" s="67" t="s">
        <v>90</v>
      </c>
      <c r="AC25" s="63"/>
      <c r="AD25" s="63"/>
      <c r="AG25" s="63">
        <f>0.288*POWER(S25,0.811)</f>
        <v>1200.8102015234344</v>
      </c>
      <c r="AH25" s="63"/>
    </row>
    <row r="26" spans="3:37" ht="24" x14ac:dyDescent="0.35">
      <c r="C26" s="32" t="s">
        <v>453</v>
      </c>
      <c r="D26" s="32" t="s">
        <v>454</v>
      </c>
      <c r="E26" s="32" t="s">
        <v>455</v>
      </c>
      <c r="F26" s="32" t="s">
        <v>329</v>
      </c>
      <c r="G26" s="106" t="s">
        <v>411</v>
      </c>
      <c r="H26" s="63">
        <f t="shared" si="2"/>
        <v>3.3565457822828677E-9</v>
      </c>
      <c r="I26" s="105">
        <f>X26/S26*POWER(10,15)</f>
        <v>115.38954424034735</v>
      </c>
      <c r="J26" s="32" t="s">
        <v>407</v>
      </c>
      <c r="K26" s="32" t="s">
        <v>408</v>
      </c>
      <c r="L26" s="32" t="s">
        <v>408</v>
      </c>
      <c r="M26" s="32" t="s">
        <v>90</v>
      </c>
      <c r="N26" s="32" t="s">
        <v>90</v>
      </c>
      <c r="Q26" s="32">
        <v>50</v>
      </c>
      <c r="R26" s="70">
        <f t="shared" si="3"/>
        <v>16.666666666666668</v>
      </c>
      <c r="S26" s="69">
        <f>4/3*PI()*(Q26/2)*POWER(R26,2)</f>
        <v>29088.820866572161</v>
      </c>
      <c r="T26" s="71">
        <f>((Q26*(POWER(R26,2))*PI())/6)/1000000</f>
        <v>7.2722052166430406E-3</v>
      </c>
      <c r="U26" s="72" t="s">
        <v>90</v>
      </c>
      <c r="V26" s="67" t="s">
        <v>90</v>
      </c>
      <c r="W26" s="63">
        <f t="shared" si="4"/>
        <v>3.3565457822828677E-3</v>
      </c>
      <c r="X26" s="63">
        <f>W26/1000000</f>
        <v>3.3565457822828677E-9</v>
      </c>
      <c r="Z26" s="32" t="s">
        <v>409</v>
      </c>
      <c r="AA26" s="72"/>
      <c r="AB26" s="67" t="s">
        <v>386</v>
      </c>
      <c r="AC26" s="63"/>
      <c r="AD26" s="63"/>
      <c r="AG26" s="63">
        <f>0.216*POWER(S26,0.939)</f>
        <v>3356.545782282868</v>
      </c>
      <c r="AH26" s="63"/>
    </row>
    <row r="27" spans="3:37" x14ac:dyDescent="0.35">
      <c r="C27" s="32" t="s">
        <v>456</v>
      </c>
      <c r="D27" s="32" t="s">
        <v>457</v>
      </c>
      <c r="E27" s="32" t="s">
        <v>90</v>
      </c>
      <c r="F27" s="32" t="s">
        <v>90</v>
      </c>
      <c r="G27" s="106" t="s">
        <v>411</v>
      </c>
      <c r="H27" s="63" t="str">
        <f t="shared" si="2"/>
        <v>na</v>
      </c>
      <c r="I27" s="105" t="s">
        <v>90</v>
      </c>
      <c r="J27" s="32" t="s">
        <v>90</v>
      </c>
      <c r="K27" s="32" t="s">
        <v>90</v>
      </c>
      <c r="L27" s="32" t="s">
        <v>90</v>
      </c>
      <c r="M27" s="32" t="s">
        <v>90</v>
      </c>
      <c r="N27" s="32" t="s">
        <v>90</v>
      </c>
      <c r="Q27" s="32" t="s">
        <v>90</v>
      </c>
      <c r="R27" s="32" t="s">
        <v>90</v>
      </c>
      <c r="S27" s="32" t="s">
        <v>90</v>
      </c>
      <c r="T27" s="32" t="s">
        <v>90</v>
      </c>
      <c r="U27" s="32" t="s">
        <v>90</v>
      </c>
      <c r="V27" s="32" t="s">
        <v>90</v>
      </c>
      <c r="W27" s="32" t="s">
        <v>90</v>
      </c>
      <c r="X27" s="32" t="s">
        <v>90</v>
      </c>
      <c r="Z27" s="32" t="s">
        <v>90</v>
      </c>
      <c r="AB27" s="32" t="s">
        <v>90</v>
      </c>
      <c r="AC27" s="63"/>
      <c r="AD27" s="63"/>
      <c r="AG27" s="63"/>
      <c r="AH27" s="63"/>
    </row>
    <row r="28" spans="3:37" ht="24" x14ac:dyDescent="0.35">
      <c r="C28" s="32" t="s">
        <v>458</v>
      </c>
      <c r="D28" s="32" t="s">
        <v>459</v>
      </c>
      <c r="E28" s="32" t="s">
        <v>460</v>
      </c>
      <c r="F28" s="32" t="s">
        <v>393</v>
      </c>
      <c r="G28" s="106" t="s">
        <v>411</v>
      </c>
      <c r="H28" s="63">
        <f t="shared" si="2"/>
        <v>5.52687596464871E-9</v>
      </c>
      <c r="I28" s="105">
        <f>X28/S28*POWER(10,15)</f>
        <v>189.99999999999997</v>
      </c>
      <c r="K28" s="32" t="s">
        <v>408</v>
      </c>
      <c r="L28" s="32" t="s">
        <v>408</v>
      </c>
      <c r="M28" s="32" t="s">
        <v>90</v>
      </c>
      <c r="N28" s="32" t="s">
        <v>90</v>
      </c>
      <c r="Q28" s="32">
        <v>50</v>
      </c>
      <c r="R28" s="70">
        <f t="shared" si="3"/>
        <v>16.666666666666668</v>
      </c>
      <c r="S28" s="69">
        <f>4/3*PI()*(Q28/2)*POWER(R28,2)</f>
        <v>29088.820866572161</v>
      </c>
      <c r="T28" s="71">
        <f>((Q28*(POWER(R28,2))*PI())/6)/1000000</f>
        <v>7.2722052166430406E-3</v>
      </c>
      <c r="U28" s="72" t="s">
        <v>386</v>
      </c>
      <c r="V28" s="67" t="s">
        <v>90</v>
      </c>
      <c r="W28" s="63">
        <f>AG28*POWER(10,-6)</f>
        <v>5.5268759646487104E-3</v>
      </c>
      <c r="X28" s="63">
        <f>W28/1000000</f>
        <v>5.52687596464871E-9</v>
      </c>
      <c r="AA28" s="72"/>
      <c r="AB28" s="67" t="s">
        <v>386</v>
      </c>
      <c r="AC28" s="63"/>
      <c r="AD28" s="63"/>
      <c r="AG28" s="63">
        <f>S28*0.19</f>
        <v>5526.8759646487106</v>
      </c>
      <c r="AH28" s="63"/>
    </row>
    <row r="29" spans="3:37" ht="24" x14ac:dyDescent="0.35">
      <c r="C29" s="140" t="s">
        <v>461</v>
      </c>
      <c r="D29" s="32" t="s">
        <v>462</v>
      </c>
      <c r="E29" s="32" t="s">
        <v>463</v>
      </c>
      <c r="F29" s="32" t="s">
        <v>329</v>
      </c>
      <c r="G29" s="106" t="s">
        <v>411</v>
      </c>
      <c r="H29" s="63" t="s">
        <v>90</v>
      </c>
      <c r="I29" s="105" t="s">
        <v>90</v>
      </c>
      <c r="K29" s="32" t="s">
        <v>408</v>
      </c>
      <c r="L29" s="32" t="s">
        <v>408</v>
      </c>
      <c r="M29" s="32" t="s">
        <v>90</v>
      </c>
      <c r="N29" s="32" t="s">
        <v>90</v>
      </c>
      <c r="Q29" s="32">
        <v>50</v>
      </c>
      <c r="R29" s="70">
        <f t="shared" si="3"/>
        <v>16.666666666666668</v>
      </c>
      <c r="S29" s="69">
        <f>4/3*PI()*(Q29/2)*POWER(R29,2)</f>
        <v>29088.820866572161</v>
      </c>
      <c r="T29" s="71">
        <f>((Q29*(POWER(R29,2))*PI())/6)/1000000</f>
        <v>7.2722052166430406E-3</v>
      </c>
      <c r="U29" s="93">
        <f>T29*1</f>
        <v>7.2722052166430406E-3</v>
      </c>
      <c r="V29" s="94">
        <f>U29*0.59</f>
        <v>4.2906010778193939E-3</v>
      </c>
      <c r="W29" s="63"/>
      <c r="X29" s="63"/>
      <c r="AA29" s="72"/>
      <c r="AB29" s="67"/>
      <c r="AC29" s="63"/>
      <c r="AD29" s="63"/>
      <c r="AG29" s="63"/>
      <c r="AH29" s="63"/>
    </row>
    <row r="30" spans="3:37" ht="24" x14ac:dyDescent="0.35">
      <c r="C30" s="32" t="s">
        <v>464</v>
      </c>
      <c r="D30" s="32" t="s">
        <v>465</v>
      </c>
      <c r="E30" s="32" t="s">
        <v>466</v>
      </c>
      <c r="F30" s="32" t="s">
        <v>90</v>
      </c>
      <c r="G30" s="106"/>
      <c r="H30" s="63"/>
      <c r="R30" s="70"/>
      <c r="S30" s="69"/>
      <c r="T30" s="71"/>
      <c r="U30" s="93"/>
      <c r="V30" s="94"/>
      <c r="W30" s="63"/>
      <c r="X30" s="63"/>
      <c r="AA30" s="72"/>
      <c r="AB30" s="67"/>
      <c r="AC30" s="63"/>
      <c r="AD30" s="63"/>
      <c r="AG30" s="63"/>
      <c r="AH30" s="63"/>
    </row>
    <row r="31" spans="3:37" ht="24" x14ac:dyDescent="0.35">
      <c r="C31" s="32" t="s">
        <v>467</v>
      </c>
      <c r="D31" s="32" t="s">
        <v>468</v>
      </c>
      <c r="E31" s="32" t="s">
        <v>469</v>
      </c>
      <c r="F31" s="32" t="s">
        <v>470</v>
      </c>
      <c r="G31" s="106"/>
      <c r="H31" s="63"/>
      <c r="R31" s="70"/>
      <c r="S31" s="69"/>
      <c r="T31" s="71"/>
      <c r="U31" s="93"/>
      <c r="V31" s="94"/>
      <c r="W31" s="63"/>
      <c r="X31" s="63"/>
      <c r="AA31" s="72"/>
      <c r="AB31" s="67"/>
      <c r="AC31" s="63"/>
      <c r="AD31" s="63"/>
      <c r="AG31" s="63"/>
      <c r="AH31" s="63"/>
    </row>
    <row r="32" spans="3:37" ht="24" x14ac:dyDescent="0.35">
      <c r="C32" s="32" t="s">
        <v>403</v>
      </c>
      <c r="F32" s="32" t="s">
        <v>440</v>
      </c>
      <c r="G32" s="32" t="s">
        <v>471</v>
      </c>
      <c r="H32" s="63">
        <f t="shared" si="2"/>
        <v>1.5998851476614691E-8</v>
      </c>
      <c r="I32" s="111">
        <f>X32/S32*POWER(10,15)</f>
        <v>550.00000000000011</v>
      </c>
      <c r="N32" s="32">
        <v>2.2000000000000002</v>
      </c>
      <c r="Q32" s="32">
        <v>50</v>
      </c>
      <c r="R32" s="70">
        <f t="shared" si="3"/>
        <v>16.666666666666668</v>
      </c>
      <c r="S32" s="97">
        <f>4/3*PI()*(Q32/2)*POWER(R32,2)</f>
        <v>29088.820866572161</v>
      </c>
      <c r="T32" s="69">
        <f>((Q32*(POWER(R32,2))*PI())/6)/1000000</f>
        <v>7.2722052166430406E-3</v>
      </c>
      <c r="U32" s="69">
        <f>T32*N32</f>
        <v>1.599885147661469E-2</v>
      </c>
      <c r="V32" s="63"/>
      <c r="W32" s="63"/>
      <c r="X32" s="63">
        <f>U32/POWER(10,6)</f>
        <v>1.5998851476614691E-8</v>
      </c>
      <c r="AA32" s="70"/>
      <c r="AB32" s="63"/>
      <c r="AC32" s="63"/>
      <c r="AD32" s="63"/>
      <c r="AG32" s="63"/>
      <c r="AH32" s="63"/>
    </row>
    <row r="33" spans="3:37" x14ac:dyDescent="0.35">
      <c r="C33" s="73" t="s">
        <v>174</v>
      </c>
      <c r="D33" s="73"/>
      <c r="E33" s="73"/>
      <c r="F33" s="73"/>
      <c r="G33" s="73"/>
      <c r="H33" s="73"/>
      <c r="I33" s="110"/>
      <c r="J33" s="73"/>
      <c r="K33" s="73"/>
      <c r="L33" s="73"/>
      <c r="M33" s="73"/>
      <c r="N33" s="73"/>
      <c r="O33" s="73"/>
      <c r="P33" s="73"/>
      <c r="Q33" s="73"/>
      <c r="R33" s="76"/>
      <c r="S33" s="73"/>
      <c r="T33" s="77"/>
      <c r="U33" s="78"/>
      <c r="V33" s="74"/>
      <c r="W33" s="74"/>
      <c r="X33" s="75"/>
      <c r="Z33" s="73"/>
      <c r="AA33" s="78"/>
      <c r="AB33" s="74"/>
      <c r="AC33" s="75"/>
      <c r="AD33" s="75"/>
      <c r="AE33" s="73"/>
      <c r="AF33" s="73"/>
      <c r="AG33" s="101"/>
      <c r="AH33" s="101"/>
      <c r="AI33" s="73"/>
      <c r="AJ33" s="73"/>
      <c r="AK33" s="73"/>
    </row>
    <row r="34" spans="3:37" ht="36" x14ac:dyDescent="0.35">
      <c r="C34" s="32" t="s">
        <v>472</v>
      </c>
      <c r="D34" s="32" t="s">
        <v>443</v>
      </c>
      <c r="E34" s="32" t="s">
        <v>444</v>
      </c>
      <c r="F34" s="32" t="s">
        <v>329</v>
      </c>
      <c r="G34" s="32">
        <v>500</v>
      </c>
      <c r="H34" s="63">
        <f t="shared" ref="H34:H50" si="5">X34</f>
        <v>7.9994257383073436E-7</v>
      </c>
      <c r="I34" s="105">
        <f>X34/S34*POWER(10,15)</f>
        <v>27.500000000000007</v>
      </c>
      <c r="J34" s="32" t="s">
        <v>407</v>
      </c>
      <c r="K34" s="32" t="s">
        <v>408</v>
      </c>
      <c r="L34" s="32" t="s">
        <v>408</v>
      </c>
      <c r="M34" s="32" t="s">
        <v>90</v>
      </c>
      <c r="N34" s="32" t="s">
        <v>90</v>
      </c>
      <c r="Q34" s="32">
        <v>500</v>
      </c>
      <c r="R34" s="70">
        <f>Q34/3</f>
        <v>166.66666666666666</v>
      </c>
      <c r="S34" s="69">
        <f>4/3*PI()*(Q34/2)*POWER(R34,2)</f>
        <v>29088820.866572153</v>
      </c>
      <c r="T34" s="71">
        <f>((Q34*(POWER(R34,2))*PI())/6)/1000000</f>
        <v>7.2722052166430382</v>
      </c>
      <c r="U34" s="72">
        <f>T34*1.1</f>
        <v>7.9994257383073428</v>
      </c>
      <c r="V34" s="67">
        <f>U34*0.25</f>
        <v>1.9998564345768357</v>
      </c>
      <c r="W34" s="67">
        <f>V34*0.4</f>
        <v>0.7999425738307343</v>
      </c>
      <c r="X34" s="63">
        <f t="shared" ref="X34:X49" si="6">W34/1000000</f>
        <v>7.9994257383073436E-7</v>
      </c>
      <c r="Z34" s="32" t="s">
        <v>409</v>
      </c>
      <c r="AA34" s="72"/>
      <c r="AB34" s="67" t="s">
        <v>90</v>
      </c>
      <c r="AC34" s="63"/>
      <c r="AD34" s="63"/>
      <c r="AG34" s="67"/>
      <c r="AH34" s="67"/>
    </row>
    <row r="35" spans="3:37" ht="36" x14ac:dyDescent="0.35">
      <c r="C35" s="32" t="s">
        <v>473</v>
      </c>
      <c r="D35" s="32" t="s">
        <v>474</v>
      </c>
      <c r="E35" s="32" t="s">
        <v>475</v>
      </c>
      <c r="F35" s="32" t="s">
        <v>393</v>
      </c>
      <c r="G35" s="106" t="s">
        <v>411</v>
      </c>
      <c r="H35" s="63">
        <f t="shared" si="5"/>
        <v>6.2620833333333328E-7</v>
      </c>
      <c r="I35" s="32" t="s">
        <v>90</v>
      </c>
      <c r="J35" s="32" t="s">
        <v>476</v>
      </c>
      <c r="K35" s="32" t="s">
        <v>408</v>
      </c>
      <c r="L35" s="32" t="s">
        <v>408</v>
      </c>
      <c r="M35" s="32" t="s">
        <v>90</v>
      </c>
      <c r="N35" s="32" t="s">
        <v>90</v>
      </c>
      <c r="Q35" s="32">
        <v>500</v>
      </c>
      <c r="R35" s="70">
        <f>Q35/3</f>
        <v>166.66666666666666</v>
      </c>
      <c r="S35" s="32" t="s">
        <v>90</v>
      </c>
      <c r="T35" s="65">
        <f>Q35/1000*POWER(R35/1000,2)*399</f>
        <v>5.5416666666666661</v>
      </c>
      <c r="U35" s="65">
        <f>T35*1.13</f>
        <v>6.2620833333333321</v>
      </c>
      <c r="V35" s="65">
        <f>U35*0.25</f>
        <v>1.565520833333333</v>
      </c>
      <c r="W35" s="65">
        <f>V35*0.4</f>
        <v>0.62620833333333326</v>
      </c>
      <c r="X35" s="63">
        <f t="shared" si="6"/>
        <v>6.2620833333333328E-7</v>
      </c>
      <c r="Z35" s="32" t="s">
        <v>477</v>
      </c>
      <c r="AA35" s="65"/>
      <c r="AB35" s="65" t="s">
        <v>90</v>
      </c>
      <c r="AC35" s="63"/>
      <c r="AD35" s="63"/>
      <c r="AG35" s="65"/>
      <c r="AH35" s="65"/>
    </row>
    <row r="36" spans="3:37" ht="36" x14ac:dyDescent="0.35">
      <c r="C36" s="32" t="s">
        <v>478</v>
      </c>
      <c r="D36" s="32" t="s">
        <v>474</v>
      </c>
      <c r="E36" s="32" t="s">
        <v>479</v>
      </c>
      <c r="F36" s="32" t="s">
        <v>393</v>
      </c>
      <c r="G36" s="106" t="s">
        <v>411</v>
      </c>
      <c r="H36" s="63">
        <f t="shared" si="5"/>
        <v>8.3180555555555541E-7</v>
      </c>
      <c r="I36" s="105" t="s">
        <v>90</v>
      </c>
      <c r="J36" s="32" t="s">
        <v>480</v>
      </c>
      <c r="K36" s="32" t="s">
        <v>408</v>
      </c>
      <c r="L36" s="32" t="s">
        <v>408</v>
      </c>
      <c r="M36" s="32" t="s">
        <v>90</v>
      </c>
      <c r="N36" s="32" t="s">
        <v>90</v>
      </c>
      <c r="Q36" s="32">
        <v>500</v>
      </c>
      <c r="R36" s="70">
        <f>Q36/3</f>
        <v>166.66666666666666</v>
      </c>
      <c r="S36" s="32" t="s">
        <v>90</v>
      </c>
      <c r="T36" s="65">
        <f>Q36/1000*POWER(R36/1000,2)*530</f>
        <v>7.3611111111111107</v>
      </c>
      <c r="U36" s="65">
        <f>T36*1.13</f>
        <v>8.3180555555555546</v>
      </c>
      <c r="V36" s="65">
        <f>U36*0.25</f>
        <v>2.0795138888888887</v>
      </c>
      <c r="W36" s="65">
        <f>V36*0.4</f>
        <v>0.83180555555555546</v>
      </c>
      <c r="X36" s="63">
        <f t="shared" si="6"/>
        <v>8.3180555555555541E-7</v>
      </c>
      <c r="Z36" s="32" t="s">
        <v>477</v>
      </c>
      <c r="AA36" s="65"/>
      <c r="AB36" s="65" t="s">
        <v>90</v>
      </c>
      <c r="AC36" s="63"/>
      <c r="AD36" s="63"/>
      <c r="AG36" s="65"/>
      <c r="AH36" s="65"/>
    </row>
    <row r="37" spans="3:37" ht="36" x14ac:dyDescent="0.35">
      <c r="C37" s="32" t="s">
        <v>481</v>
      </c>
      <c r="D37" s="32" t="s">
        <v>474</v>
      </c>
      <c r="E37" s="32" t="s">
        <v>482</v>
      </c>
      <c r="F37" s="32" t="s">
        <v>393</v>
      </c>
      <c r="G37" s="106" t="s">
        <v>411</v>
      </c>
      <c r="H37" s="63">
        <f t="shared" si="5"/>
        <v>6.2777777777777774E-7</v>
      </c>
      <c r="I37" s="105" t="s">
        <v>90</v>
      </c>
      <c r="J37" s="32" t="s">
        <v>483</v>
      </c>
      <c r="K37" s="32" t="s">
        <v>408</v>
      </c>
      <c r="L37" s="32" t="s">
        <v>408</v>
      </c>
      <c r="M37" s="32" t="s">
        <v>90</v>
      </c>
      <c r="N37" s="32" t="s">
        <v>90</v>
      </c>
      <c r="Q37" s="32">
        <v>500</v>
      </c>
      <c r="R37" s="70">
        <f>Q37/3</f>
        <v>166.66666666666666</v>
      </c>
      <c r="S37" s="32" t="s">
        <v>90</v>
      </c>
      <c r="T37" s="65">
        <f>Q37/1000*POWER(R37/1000,2)*400</f>
        <v>5.5555555555555554</v>
      </c>
      <c r="U37" s="65">
        <f>T37*1.13</f>
        <v>6.2777777777777768</v>
      </c>
      <c r="V37" s="65">
        <f>U37*0.25</f>
        <v>1.5694444444444442</v>
      </c>
      <c r="W37" s="65">
        <f>V37*0.4</f>
        <v>0.62777777777777777</v>
      </c>
      <c r="X37" s="63">
        <f t="shared" si="6"/>
        <v>6.2777777777777774E-7</v>
      </c>
      <c r="Z37" s="32" t="s">
        <v>477</v>
      </c>
      <c r="AA37" s="65"/>
      <c r="AB37" s="65" t="s">
        <v>90</v>
      </c>
      <c r="AC37" s="63"/>
      <c r="AD37" s="63"/>
      <c r="AG37" s="65"/>
      <c r="AH37" s="65"/>
    </row>
    <row r="38" spans="3:37" ht="60" x14ac:dyDescent="0.35">
      <c r="C38" s="32" t="s">
        <v>484</v>
      </c>
      <c r="D38" s="32" t="s">
        <v>485</v>
      </c>
      <c r="E38" s="32" t="s">
        <v>486</v>
      </c>
      <c r="F38" s="32" t="s">
        <v>393</v>
      </c>
      <c r="G38" s="106" t="s">
        <v>411</v>
      </c>
      <c r="H38" s="63" t="str">
        <f t="shared" si="5"/>
        <v>na</v>
      </c>
      <c r="I38" s="105" t="s">
        <v>90</v>
      </c>
      <c r="J38" s="32" t="s">
        <v>90</v>
      </c>
      <c r="K38" s="32" t="s">
        <v>408</v>
      </c>
      <c r="L38" s="32" t="s">
        <v>408</v>
      </c>
      <c r="M38" s="32" t="s">
        <v>90</v>
      </c>
      <c r="N38" s="32" t="s">
        <v>90</v>
      </c>
      <c r="Q38" s="32">
        <f>Q37*2/3</f>
        <v>333.33333333333331</v>
      </c>
      <c r="R38" s="32" t="s">
        <v>90</v>
      </c>
      <c r="S38" s="32" t="s">
        <v>90</v>
      </c>
      <c r="T38" s="65" t="s">
        <v>90</v>
      </c>
      <c r="U38" s="32" t="s">
        <v>90</v>
      </c>
      <c r="V38" s="65">
        <f>POWER(10,(2.74*LN(Q38)-16.41))</f>
        <v>0.32140438189545123</v>
      </c>
      <c r="W38" s="65" t="s">
        <v>90</v>
      </c>
      <c r="X38" s="63" t="s">
        <v>90</v>
      </c>
      <c r="Z38" s="32" t="s">
        <v>487</v>
      </c>
      <c r="AB38" s="65" t="s">
        <v>90</v>
      </c>
      <c r="AC38" s="63"/>
      <c r="AD38" s="63"/>
      <c r="AE38" s="32" t="s">
        <v>488</v>
      </c>
      <c r="AF38" s="66"/>
      <c r="AG38" s="65"/>
      <c r="AH38" s="65"/>
    </row>
    <row r="39" spans="3:37" ht="60" x14ac:dyDescent="0.35">
      <c r="C39" s="32" t="s">
        <v>489</v>
      </c>
      <c r="D39" s="32" t="s">
        <v>485</v>
      </c>
      <c r="E39" s="32" t="s">
        <v>490</v>
      </c>
      <c r="F39" s="32" t="s">
        <v>393</v>
      </c>
      <c r="G39" s="106" t="s">
        <v>411</v>
      </c>
      <c r="H39" s="63" t="str">
        <f t="shared" si="5"/>
        <v>na</v>
      </c>
      <c r="I39" s="105" t="s">
        <v>90</v>
      </c>
      <c r="J39" s="32" t="s">
        <v>90</v>
      </c>
      <c r="K39" s="32" t="s">
        <v>408</v>
      </c>
      <c r="L39" s="32" t="s">
        <v>408</v>
      </c>
      <c r="M39" s="32" t="s">
        <v>90</v>
      </c>
      <c r="N39" s="32" t="s">
        <v>90</v>
      </c>
      <c r="Q39" s="32">
        <f>Q38*2/3</f>
        <v>222.2222222222222</v>
      </c>
      <c r="R39" s="32" t="s">
        <v>90</v>
      </c>
      <c r="S39" s="32" t="s">
        <v>90</v>
      </c>
      <c r="T39" s="65" t="s">
        <v>90</v>
      </c>
      <c r="U39" s="32" t="s">
        <v>90</v>
      </c>
      <c r="V39" s="65">
        <f>POWER(10,(1.96*LN(Q39)-11.64))</f>
        <v>8.9373475970708799E-2</v>
      </c>
      <c r="W39" s="65" t="s">
        <v>90</v>
      </c>
      <c r="X39" s="63" t="s">
        <v>90</v>
      </c>
      <c r="Z39" s="32" t="s">
        <v>487</v>
      </c>
      <c r="AB39" s="65" t="s">
        <v>90</v>
      </c>
      <c r="AC39" s="63"/>
      <c r="AD39" s="63"/>
      <c r="AE39" s="32" t="s">
        <v>491</v>
      </c>
      <c r="AF39" s="66"/>
      <c r="AG39" s="65"/>
      <c r="AH39" s="65"/>
    </row>
    <row r="40" spans="3:37" ht="36" x14ac:dyDescent="0.35">
      <c r="C40" s="32" t="s">
        <v>492</v>
      </c>
      <c r="D40" s="32" t="s">
        <v>474</v>
      </c>
      <c r="E40" s="32" t="s">
        <v>493</v>
      </c>
      <c r="F40" s="32" t="s">
        <v>393</v>
      </c>
      <c r="G40" s="106" t="s">
        <v>411</v>
      </c>
      <c r="H40" s="63">
        <f t="shared" si="5"/>
        <v>7.0624999999999991E-7</v>
      </c>
      <c r="I40" s="105" t="s">
        <v>90</v>
      </c>
      <c r="J40" s="32" t="s">
        <v>494</v>
      </c>
      <c r="K40" s="32" t="s">
        <v>408</v>
      </c>
      <c r="L40" s="32" t="s">
        <v>408</v>
      </c>
      <c r="M40" s="32" t="s">
        <v>90</v>
      </c>
      <c r="N40" s="32" t="s">
        <v>90</v>
      </c>
      <c r="Q40" s="32">
        <v>500</v>
      </c>
      <c r="R40" s="70">
        <f>Q40/3</f>
        <v>166.66666666666666</v>
      </c>
      <c r="S40" s="32" t="s">
        <v>90</v>
      </c>
      <c r="T40" s="65">
        <f>Q40/1000*POWER(R40/1000,2)*450</f>
        <v>6.25</v>
      </c>
      <c r="U40" s="65">
        <f>T40*1.13</f>
        <v>7.0624999999999991</v>
      </c>
      <c r="V40" s="65">
        <f t="shared" ref="V40:V49" si="7">U40*0.25</f>
        <v>1.7656249999999998</v>
      </c>
      <c r="W40" s="65">
        <f>V40*0.4</f>
        <v>0.70624999999999993</v>
      </c>
      <c r="X40" s="63">
        <f t="shared" si="6"/>
        <v>7.0624999999999991E-7</v>
      </c>
      <c r="Z40" s="32" t="s">
        <v>477</v>
      </c>
      <c r="AA40" s="65"/>
      <c r="AB40" s="65" t="s">
        <v>90</v>
      </c>
      <c r="AC40" s="63"/>
      <c r="AD40" s="63"/>
      <c r="AG40" s="65"/>
      <c r="AH40" s="65"/>
    </row>
    <row r="41" spans="3:37" ht="24" x14ac:dyDescent="0.35">
      <c r="C41" s="32" t="s">
        <v>495</v>
      </c>
      <c r="D41" s="32" t="s">
        <v>496</v>
      </c>
      <c r="E41" s="32" t="s">
        <v>497</v>
      </c>
      <c r="F41" s="32" t="s">
        <v>393</v>
      </c>
      <c r="G41" s="106" t="s">
        <v>411</v>
      </c>
      <c r="H41" s="63" t="str">
        <f t="shared" si="5"/>
        <v>na</v>
      </c>
      <c r="I41" s="105" t="s">
        <v>90</v>
      </c>
      <c r="J41" s="32" t="s">
        <v>90</v>
      </c>
      <c r="K41" s="32" t="s">
        <v>408</v>
      </c>
      <c r="L41" s="32" t="s">
        <v>408</v>
      </c>
      <c r="M41" s="32" t="s">
        <v>90</v>
      </c>
      <c r="N41" s="32" t="s">
        <v>90</v>
      </c>
      <c r="Q41" s="32">
        <v>500</v>
      </c>
      <c r="R41" s="32" t="s">
        <v>90</v>
      </c>
      <c r="S41" s="32" t="s">
        <v>90</v>
      </c>
      <c r="T41" s="32" t="s">
        <v>90</v>
      </c>
      <c r="U41" s="32" t="s">
        <v>90</v>
      </c>
      <c r="V41" s="65">
        <f>1.1*POWER(10,-7)*POWER(Q41,2.59)</f>
        <v>1.0757837909385959</v>
      </c>
      <c r="W41" s="32" t="s">
        <v>90</v>
      </c>
      <c r="X41" s="32" t="s">
        <v>90</v>
      </c>
      <c r="AB41" s="65" t="s">
        <v>90</v>
      </c>
      <c r="AC41" s="63"/>
      <c r="AD41" s="63"/>
      <c r="AG41" s="65"/>
      <c r="AH41" s="65"/>
    </row>
    <row r="42" spans="3:37" ht="24" x14ac:dyDescent="0.35">
      <c r="C42" s="32" t="s">
        <v>498</v>
      </c>
      <c r="D42" s="32" t="s">
        <v>496</v>
      </c>
      <c r="E42" s="32" t="s">
        <v>499</v>
      </c>
      <c r="F42" s="32" t="s">
        <v>393</v>
      </c>
      <c r="G42" s="106" t="s">
        <v>411</v>
      </c>
      <c r="H42" s="63" t="str">
        <f t="shared" si="5"/>
        <v>na</v>
      </c>
      <c r="I42" s="105" t="s">
        <v>90</v>
      </c>
      <c r="J42" s="32" t="s">
        <v>90</v>
      </c>
      <c r="K42" s="32" t="s">
        <v>408</v>
      </c>
      <c r="L42" s="32" t="s">
        <v>408</v>
      </c>
      <c r="M42" s="32" t="s">
        <v>90</v>
      </c>
      <c r="N42" s="32" t="s">
        <v>90</v>
      </c>
      <c r="Q42" s="32">
        <v>500</v>
      </c>
      <c r="R42" s="32" t="s">
        <v>90</v>
      </c>
      <c r="S42" s="32" t="s">
        <v>90</v>
      </c>
      <c r="T42" s="32" t="s">
        <v>90</v>
      </c>
      <c r="U42" s="32" t="s">
        <v>90</v>
      </c>
      <c r="V42" s="65">
        <f>12.51*POWER((Q42/1000),4.4)</f>
        <v>0.59255044522015876</v>
      </c>
      <c r="W42" s="32" t="s">
        <v>90</v>
      </c>
      <c r="X42" s="32" t="s">
        <v>90</v>
      </c>
      <c r="AB42" s="65" t="s">
        <v>90</v>
      </c>
      <c r="AC42" s="63"/>
      <c r="AD42" s="63"/>
      <c r="AG42" s="65"/>
      <c r="AH42" s="65"/>
    </row>
    <row r="43" spans="3:37" ht="24" x14ac:dyDescent="0.35">
      <c r="C43" s="32" t="s">
        <v>500</v>
      </c>
      <c r="D43" s="32" t="s">
        <v>496</v>
      </c>
      <c r="E43" s="32" t="s">
        <v>501</v>
      </c>
      <c r="F43" s="32" t="s">
        <v>393</v>
      </c>
      <c r="G43" s="106" t="s">
        <v>411</v>
      </c>
      <c r="H43" s="63" t="str">
        <f t="shared" si="5"/>
        <v>na</v>
      </c>
      <c r="I43" s="105" t="s">
        <v>90</v>
      </c>
      <c r="J43" s="32" t="s">
        <v>90</v>
      </c>
      <c r="K43" s="32" t="s">
        <v>408</v>
      </c>
      <c r="L43" s="32" t="s">
        <v>408</v>
      </c>
      <c r="M43" s="32" t="s">
        <v>90</v>
      </c>
      <c r="N43" s="32" t="s">
        <v>90</v>
      </c>
      <c r="Q43" s="32">
        <v>500</v>
      </c>
      <c r="R43" s="32" t="s">
        <v>90</v>
      </c>
      <c r="S43" s="32" t="s">
        <v>90</v>
      </c>
      <c r="T43" s="32" t="s">
        <v>90</v>
      </c>
      <c r="U43" s="32" t="s">
        <v>90</v>
      </c>
      <c r="V43" s="65">
        <f>1.1*POWER(10,-5)*POWER(Q43,1.89)</f>
        <v>1.3881806721269621</v>
      </c>
      <c r="W43" s="32" t="s">
        <v>90</v>
      </c>
      <c r="X43" s="32" t="s">
        <v>90</v>
      </c>
      <c r="AB43" s="65" t="s">
        <v>90</v>
      </c>
      <c r="AC43" s="63"/>
      <c r="AD43" s="63"/>
      <c r="AG43" s="65"/>
      <c r="AH43" s="65"/>
    </row>
    <row r="44" spans="3:37" ht="36" x14ac:dyDescent="0.35">
      <c r="C44" s="32" t="s">
        <v>183</v>
      </c>
      <c r="D44" s="32" t="s">
        <v>178</v>
      </c>
      <c r="E44" s="32" t="s">
        <v>502</v>
      </c>
      <c r="F44" s="32" t="s">
        <v>393</v>
      </c>
      <c r="G44" s="106" t="s">
        <v>411</v>
      </c>
      <c r="H44" s="63" t="str">
        <f t="shared" si="5"/>
        <v>na</v>
      </c>
      <c r="I44" s="105" t="s">
        <v>90</v>
      </c>
      <c r="J44" s="32" t="s">
        <v>503</v>
      </c>
      <c r="K44" s="32" t="s">
        <v>408</v>
      </c>
      <c r="L44" s="32" t="s">
        <v>408</v>
      </c>
      <c r="M44" s="32" t="s">
        <v>90</v>
      </c>
      <c r="N44" s="32" t="s">
        <v>90</v>
      </c>
      <c r="Q44" s="32">
        <v>500</v>
      </c>
      <c r="R44" s="70">
        <f t="shared" ref="R44:R49" si="8">Q44/3</f>
        <v>166.66666666666666</v>
      </c>
      <c r="S44" s="32" t="s">
        <v>90</v>
      </c>
      <c r="T44" s="65">
        <f>((POWER((Q44/1000),2)*R44/1000)/1.7)*1000</f>
        <v>24.509803921568626</v>
      </c>
      <c r="U44" s="65">
        <f>T44*1.084</f>
        <v>26.568627450980394</v>
      </c>
      <c r="V44" s="65">
        <f t="shared" si="7"/>
        <v>6.6421568627450984</v>
      </c>
      <c r="W44" s="65" t="s">
        <v>90</v>
      </c>
      <c r="X44" s="63" t="s">
        <v>90</v>
      </c>
      <c r="Z44" s="32" t="s">
        <v>477</v>
      </c>
      <c r="AA44" s="65"/>
      <c r="AB44" s="65" t="s">
        <v>90</v>
      </c>
      <c r="AC44" s="63"/>
      <c r="AD44" s="63"/>
      <c r="AG44" s="65"/>
      <c r="AH44" s="65"/>
    </row>
    <row r="45" spans="3:37" ht="36" x14ac:dyDescent="0.35">
      <c r="C45" s="32" t="s">
        <v>504</v>
      </c>
      <c r="D45" s="32" t="s">
        <v>474</v>
      </c>
      <c r="E45" s="32" t="s">
        <v>479</v>
      </c>
      <c r="F45" s="32" t="s">
        <v>393</v>
      </c>
      <c r="G45" s="106" t="s">
        <v>411</v>
      </c>
      <c r="H45" s="63">
        <f t="shared" si="5"/>
        <v>8.3180555555555541E-7</v>
      </c>
      <c r="I45" s="105" t="s">
        <v>90</v>
      </c>
      <c r="J45" s="32" t="s">
        <v>480</v>
      </c>
      <c r="K45" s="32" t="s">
        <v>408</v>
      </c>
      <c r="L45" s="32" t="s">
        <v>408</v>
      </c>
      <c r="M45" s="32" t="s">
        <v>90</v>
      </c>
      <c r="N45" s="32" t="s">
        <v>90</v>
      </c>
      <c r="Q45" s="32">
        <v>500</v>
      </c>
      <c r="R45" s="70">
        <f t="shared" si="8"/>
        <v>166.66666666666666</v>
      </c>
      <c r="S45" s="32" t="s">
        <v>90</v>
      </c>
      <c r="T45" s="65">
        <f>Q45/1000*POWER(R45/1000,2)*530</f>
        <v>7.3611111111111107</v>
      </c>
      <c r="U45" s="65">
        <f>T45*1.13</f>
        <v>8.3180555555555546</v>
      </c>
      <c r="V45" s="65">
        <f t="shared" si="7"/>
        <v>2.0795138888888887</v>
      </c>
      <c r="W45" s="65">
        <f>V45*0.4</f>
        <v>0.83180555555555546</v>
      </c>
      <c r="X45" s="63">
        <f t="shared" si="6"/>
        <v>8.3180555555555541E-7</v>
      </c>
      <c r="Z45" s="32" t="s">
        <v>477</v>
      </c>
      <c r="AA45" s="65"/>
      <c r="AB45" s="65" t="s">
        <v>90</v>
      </c>
      <c r="AC45" s="63"/>
      <c r="AD45" s="63"/>
      <c r="AG45" s="65"/>
      <c r="AH45" s="65"/>
    </row>
    <row r="46" spans="3:37" ht="36" x14ac:dyDescent="0.35">
      <c r="C46" s="32" t="s">
        <v>505</v>
      </c>
      <c r="D46" s="32" t="s">
        <v>474</v>
      </c>
      <c r="E46" s="32" t="s">
        <v>493</v>
      </c>
      <c r="F46" s="32" t="s">
        <v>393</v>
      </c>
      <c r="G46" s="106" t="s">
        <v>411</v>
      </c>
      <c r="H46" s="63">
        <f t="shared" si="5"/>
        <v>7.0624999999999991E-7</v>
      </c>
      <c r="I46" s="105" t="s">
        <v>90</v>
      </c>
      <c r="J46" s="32" t="s">
        <v>494</v>
      </c>
      <c r="K46" s="32" t="s">
        <v>408</v>
      </c>
      <c r="L46" s="32" t="s">
        <v>408</v>
      </c>
      <c r="M46" s="32" t="s">
        <v>90</v>
      </c>
      <c r="N46" s="32" t="s">
        <v>90</v>
      </c>
      <c r="Q46" s="32">
        <v>500</v>
      </c>
      <c r="R46" s="70">
        <f t="shared" si="8"/>
        <v>166.66666666666666</v>
      </c>
      <c r="S46" s="32" t="s">
        <v>90</v>
      </c>
      <c r="T46" s="65">
        <f>Q46/1000*POWER(R46/1000,2)*450</f>
        <v>6.25</v>
      </c>
      <c r="U46" s="65">
        <f>T46*1.13</f>
        <v>7.0624999999999991</v>
      </c>
      <c r="V46" s="65">
        <f t="shared" si="7"/>
        <v>1.7656249999999998</v>
      </c>
      <c r="W46" s="65">
        <f>V46*0.4</f>
        <v>0.70624999999999993</v>
      </c>
      <c r="X46" s="63">
        <f t="shared" si="6"/>
        <v>7.0624999999999991E-7</v>
      </c>
      <c r="Z46" s="32" t="s">
        <v>477</v>
      </c>
      <c r="AA46" s="65"/>
      <c r="AB46" s="65" t="s">
        <v>90</v>
      </c>
      <c r="AC46" s="63"/>
      <c r="AD46" s="63"/>
      <c r="AG46" s="65"/>
      <c r="AH46" s="65"/>
    </row>
    <row r="47" spans="3:37" ht="48" x14ac:dyDescent="0.35">
      <c r="C47" s="32" t="s">
        <v>506</v>
      </c>
      <c r="D47" s="108" t="s">
        <v>507</v>
      </c>
      <c r="E47" s="108"/>
      <c r="F47" s="108" t="s">
        <v>508</v>
      </c>
      <c r="G47" s="106" t="s">
        <v>411</v>
      </c>
      <c r="H47" s="63">
        <f t="shared" si="5"/>
        <v>0</v>
      </c>
      <c r="I47" s="105">
        <f>X47/S47*POWER(10,15)</f>
        <v>0</v>
      </c>
      <c r="J47" s="32" t="s">
        <v>509</v>
      </c>
      <c r="K47" s="32" t="s">
        <v>408</v>
      </c>
      <c r="L47" s="32" t="s">
        <v>408</v>
      </c>
      <c r="M47" s="32" t="s">
        <v>90</v>
      </c>
      <c r="N47" s="32" t="s">
        <v>90</v>
      </c>
      <c r="Q47" s="32">
        <v>500</v>
      </c>
      <c r="R47" s="70">
        <f t="shared" si="8"/>
        <v>166.66666666666666</v>
      </c>
      <c r="S47" s="69">
        <f>4/3*PI()*(Q47/2)*POWER(R47,2)</f>
        <v>29088820.866572153</v>
      </c>
      <c r="T47" s="65"/>
      <c r="U47" s="65"/>
      <c r="V47" s="65"/>
      <c r="W47" s="65"/>
      <c r="X47" s="63"/>
      <c r="Z47" s="32" t="s">
        <v>510</v>
      </c>
      <c r="AA47" s="65"/>
      <c r="AB47" s="65" t="s">
        <v>90</v>
      </c>
      <c r="AC47" s="63"/>
      <c r="AD47" s="63"/>
      <c r="AG47" s="65"/>
      <c r="AH47" s="65"/>
    </row>
    <row r="48" spans="3:37" ht="36" x14ac:dyDescent="0.35">
      <c r="C48" s="32" t="s">
        <v>511</v>
      </c>
      <c r="D48" s="32" t="s">
        <v>474</v>
      </c>
      <c r="E48" s="32" t="s">
        <v>512</v>
      </c>
      <c r="F48" s="32" t="s">
        <v>393</v>
      </c>
      <c r="G48" s="106" t="s">
        <v>411</v>
      </c>
      <c r="H48" s="63">
        <f t="shared" si="5"/>
        <v>9.6363888888888866E-7</v>
      </c>
      <c r="I48" s="105" t="s">
        <v>90</v>
      </c>
      <c r="J48" s="32" t="s">
        <v>513</v>
      </c>
      <c r="K48" s="32" t="s">
        <v>408</v>
      </c>
      <c r="L48" s="32" t="s">
        <v>408</v>
      </c>
      <c r="M48" s="32" t="s">
        <v>90</v>
      </c>
      <c r="N48" s="32" t="s">
        <v>90</v>
      </c>
      <c r="Q48" s="32">
        <v>500</v>
      </c>
      <c r="R48" s="70">
        <f t="shared" si="8"/>
        <v>166.66666666666666</v>
      </c>
      <c r="S48" s="32" t="s">
        <v>90</v>
      </c>
      <c r="T48" s="65">
        <f>Q48/1000*POWER(R48/1000,2)*614</f>
        <v>8.5277777777777768</v>
      </c>
      <c r="U48" s="65">
        <f>T48*1.13</f>
        <v>9.6363888888888862</v>
      </c>
      <c r="V48" s="65">
        <f t="shared" si="7"/>
        <v>2.4090972222222216</v>
      </c>
      <c r="W48" s="65">
        <f>V48*0.4</f>
        <v>0.96363888888888871</v>
      </c>
      <c r="X48" s="63">
        <f t="shared" si="6"/>
        <v>9.6363888888888866E-7</v>
      </c>
      <c r="Z48" s="32" t="s">
        <v>477</v>
      </c>
      <c r="AA48" s="65"/>
      <c r="AB48" s="65" t="s">
        <v>90</v>
      </c>
      <c r="AC48" s="63"/>
      <c r="AD48" s="63"/>
      <c r="AG48" s="65"/>
      <c r="AH48" s="65"/>
    </row>
    <row r="49" spans="3:37" ht="36" x14ac:dyDescent="0.35">
      <c r="C49" s="32" t="s">
        <v>514</v>
      </c>
      <c r="D49" s="32" t="s">
        <v>474</v>
      </c>
      <c r="E49" s="32" t="s">
        <v>515</v>
      </c>
      <c r="F49" s="32" t="s">
        <v>393</v>
      </c>
      <c r="G49" s="106" t="s">
        <v>411</v>
      </c>
      <c r="H49" s="63">
        <f t="shared" si="5"/>
        <v>8.6319444444444434E-7</v>
      </c>
      <c r="I49" s="105" t="s">
        <v>90</v>
      </c>
      <c r="J49" s="32" t="s">
        <v>516</v>
      </c>
      <c r="K49" s="32" t="s">
        <v>408</v>
      </c>
      <c r="L49" s="32" t="s">
        <v>408</v>
      </c>
      <c r="M49" s="32" t="s">
        <v>90</v>
      </c>
      <c r="N49" s="32" t="s">
        <v>90</v>
      </c>
      <c r="Q49" s="32">
        <v>500</v>
      </c>
      <c r="R49" s="70">
        <f t="shared" si="8"/>
        <v>166.66666666666666</v>
      </c>
      <c r="S49" s="32" t="s">
        <v>90</v>
      </c>
      <c r="T49" s="65">
        <f>Q49/1000*POWER(R49/1000,2)*550</f>
        <v>7.6388888888888884</v>
      </c>
      <c r="U49" s="65">
        <f>T49*1.13</f>
        <v>8.6319444444444429</v>
      </c>
      <c r="V49" s="65">
        <f t="shared" si="7"/>
        <v>2.1579861111111107</v>
      </c>
      <c r="W49" s="65">
        <f>V49*0.4</f>
        <v>0.86319444444444438</v>
      </c>
      <c r="X49" s="63">
        <f t="shared" si="6"/>
        <v>8.6319444444444434E-7</v>
      </c>
      <c r="Z49" s="32" t="s">
        <v>477</v>
      </c>
      <c r="AA49" s="65"/>
      <c r="AB49" s="65" t="s">
        <v>90</v>
      </c>
      <c r="AC49" s="63"/>
      <c r="AD49" s="63"/>
      <c r="AG49" s="65"/>
      <c r="AH49" s="65"/>
    </row>
    <row r="50" spans="3:37" ht="36" x14ac:dyDescent="0.35">
      <c r="C50" s="32" t="s">
        <v>403</v>
      </c>
      <c r="F50" s="32" t="s">
        <v>517</v>
      </c>
      <c r="G50" s="32" t="s">
        <v>518</v>
      </c>
      <c r="H50" s="63">
        <f t="shared" si="5"/>
        <v>1.1519173063162574E-3</v>
      </c>
      <c r="I50" s="105">
        <f>X50/S50*POWER(10,15)</f>
        <v>550</v>
      </c>
      <c r="N50" s="32">
        <v>2.2000000000000002</v>
      </c>
      <c r="Q50" s="32">
        <v>1000</v>
      </c>
      <c r="R50" s="70">
        <v>1000</v>
      </c>
      <c r="S50" s="69">
        <f>4/3*PI()*(Q50/2)*POWER(R50,2)</f>
        <v>2094395102.3931954</v>
      </c>
      <c r="T50" s="69">
        <f>((Q50*(POWER(R50,2))*PI())/6)/1000000</f>
        <v>523.59877559829886</v>
      </c>
      <c r="U50" s="69">
        <f>T50*N50</f>
        <v>1151.9173063162575</v>
      </c>
      <c r="V50" s="63"/>
      <c r="W50" s="63"/>
      <c r="X50" s="63">
        <f>U50/POWER(10,6)</f>
        <v>1.1519173063162574E-3</v>
      </c>
      <c r="AA50" s="70"/>
      <c r="AB50" s="63"/>
      <c r="AC50" s="63"/>
      <c r="AD50" s="63"/>
      <c r="AG50" s="65"/>
      <c r="AH50" s="65"/>
    </row>
    <row r="51" spans="3:37" x14ac:dyDescent="0.35">
      <c r="C51" s="73" t="s">
        <v>196</v>
      </c>
      <c r="D51" s="73"/>
      <c r="E51" s="73"/>
      <c r="F51" s="73"/>
      <c r="G51" s="73"/>
      <c r="H51" s="73"/>
      <c r="I51" s="110"/>
      <c r="J51" s="73"/>
      <c r="K51" s="73"/>
      <c r="L51" s="73"/>
      <c r="M51" s="73"/>
      <c r="N51" s="73"/>
      <c r="O51" s="73"/>
      <c r="P51" s="73"/>
      <c r="Q51" s="73"/>
      <c r="R51" s="76"/>
      <c r="S51" s="73"/>
      <c r="T51" s="77"/>
      <c r="U51" s="78"/>
      <c r="V51" s="74"/>
      <c r="W51" s="74"/>
      <c r="X51" s="75"/>
      <c r="Z51" s="75"/>
      <c r="AA51" s="78"/>
      <c r="AB51" s="74"/>
      <c r="AC51" s="75"/>
      <c r="AD51" s="75"/>
      <c r="AE51" s="73"/>
      <c r="AF51" s="73"/>
      <c r="AG51" s="101"/>
      <c r="AH51" s="101"/>
      <c r="AI51" s="73"/>
      <c r="AJ51" s="73"/>
      <c r="AK51" s="73"/>
    </row>
    <row r="52" spans="3:37" ht="24" x14ac:dyDescent="0.35">
      <c r="C52" s="32" t="s">
        <v>519</v>
      </c>
      <c r="D52" s="32" t="s">
        <v>198</v>
      </c>
      <c r="E52" s="32" t="s">
        <v>520</v>
      </c>
      <c r="F52" s="32" t="s">
        <v>393</v>
      </c>
      <c r="H52" s="63" t="str">
        <f t="shared" ref="H52:H74" si="9">X52</f>
        <v>na</v>
      </c>
      <c r="I52" s="105" t="s">
        <v>90</v>
      </c>
      <c r="J52" s="32" t="s">
        <v>90</v>
      </c>
      <c r="K52" s="32" t="s">
        <v>408</v>
      </c>
      <c r="L52" s="32" t="s">
        <v>408</v>
      </c>
      <c r="M52" s="32" t="s">
        <v>90</v>
      </c>
      <c r="N52" s="32" t="s">
        <v>90</v>
      </c>
      <c r="Q52" s="32">
        <v>3500</v>
      </c>
      <c r="R52" s="32" t="s">
        <v>90</v>
      </c>
      <c r="S52" s="32" t="s">
        <v>90</v>
      </c>
      <c r="T52" s="32" t="s">
        <v>90</v>
      </c>
      <c r="U52" s="32" t="s">
        <v>90</v>
      </c>
      <c r="V52" s="105">
        <f>AK52*1000</f>
        <v>400.23250673167519</v>
      </c>
      <c r="W52" s="32" t="s">
        <v>90</v>
      </c>
      <c r="X52" s="32" t="s">
        <v>90</v>
      </c>
      <c r="Z52" s="32" t="s">
        <v>477</v>
      </c>
      <c r="AB52" s="105"/>
      <c r="AI52" s="32">
        <v>2.65222358263583</v>
      </c>
      <c r="AJ52" s="32">
        <v>1.8406777388193301</v>
      </c>
      <c r="AK52" s="32">
        <f>POWER(10,(AI52*LOG(Q52/1000)-(AJ52)))</f>
        <v>0.40023250673167521</v>
      </c>
    </row>
    <row r="53" spans="3:37" ht="24" x14ac:dyDescent="0.35">
      <c r="C53" s="32" t="s">
        <v>521</v>
      </c>
      <c r="D53" s="32" t="s">
        <v>198</v>
      </c>
      <c r="E53" s="32" t="s">
        <v>520</v>
      </c>
      <c r="F53" s="32" t="s">
        <v>393</v>
      </c>
      <c r="H53" s="63" t="str">
        <f t="shared" si="9"/>
        <v>na</v>
      </c>
      <c r="I53" s="105" t="s">
        <v>90</v>
      </c>
      <c r="J53" s="32" t="s">
        <v>90</v>
      </c>
      <c r="K53" s="32" t="s">
        <v>408</v>
      </c>
      <c r="L53" s="32" t="s">
        <v>408</v>
      </c>
      <c r="M53" s="32" t="s">
        <v>90</v>
      </c>
      <c r="N53" s="32" t="s">
        <v>90</v>
      </c>
      <c r="Q53" s="32">
        <v>3500</v>
      </c>
      <c r="R53" s="32" t="s">
        <v>90</v>
      </c>
      <c r="S53" s="32" t="s">
        <v>90</v>
      </c>
      <c r="T53" s="32" t="s">
        <v>90</v>
      </c>
      <c r="U53" s="32" t="s">
        <v>90</v>
      </c>
      <c r="V53" s="105">
        <f>AK53*1000</f>
        <v>250.2448529879311</v>
      </c>
      <c r="W53" s="32" t="s">
        <v>90</v>
      </c>
      <c r="X53" s="32" t="s">
        <v>90</v>
      </c>
      <c r="Z53" s="32" t="s">
        <v>477</v>
      </c>
      <c r="AB53" s="105"/>
      <c r="AI53" s="32">
        <v>3.0150000000000001</v>
      </c>
      <c r="AJ53" s="32">
        <v>2.242</v>
      </c>
      <c r="AK53" s="32">
        <f>POWER(10,(AI53*LOG(Q53/1000)-(AJ53)))</f>
        <v>0.25024485298793109</v>
      </c>
    </row>
    <row r="54" spans="3:37" ht="24" x14ac:dyDescent="0.35">
      <c r="C54" s="32" t="s">
        <v>522</v>
      </c>
      <c r="D54" s="32" t="s">
        <v>198</v>
      </c>
      <c r="E54" s="32" t="s">
        <v>520</v>
      </c>
      <c r="F54" s="32" t="s">
        <v>393</v>
      </c>
      <c r="H54" s="63" t="str">
        <f t="shared" si="9"/>
        <v>na</v>
      </c>
      <c r="I54" s="105" t="s">
        <v>90</v>
      </c>
      <c r="J54" s="32" t="s">
        <v>90</v>
      </c>
      <c r="K54" s="32" t="s">
        <v>408</v>
      </c>
      <c r="L54" s="32" t="s">
        <v>408</v>
      </c>
      <c r="M54" s="32" t="s">
        <v>90</v>
      </c>
      <c r="N54" s="32" t="s">
        <v>90</v>
      </c>
      <c r="Q54" s="32">
        <v>3500</v>
      </c>
      <c r="R54" s="32" t="s">
        <v>90</v>
      </c>
      <c r="S54" s="32" t="s">
        <v>90</v>
      </c>
      <c r="T54" s="32" t="s">
        <v>90</v>
      </c>
      <c r="U54" s="32" t="s">
        <v>90</v>
      </c>
      <c r="V54" s="105">
        <f>AK54*1000</f>
        <v>916.83667358551168</v>
      </c>
      <c r="W54" s="32" t="s">
        <v>90</v>
      </c>
      <c r="X54" s="32" t="s">
        <v>90</v>
      </c>
      <c r="Z54" s="32" t="s">
        <v>477</v>
      </c>
      <c r="AB54" s="105"/>
      <c r="AI54" s="32">
        <v>1.8220000000000001</v>
      </c>
      <c r="AJ54" s="32">
        <v>1.0289999999999999</v>
      </c>
      <c r="AK54" s="32">
        <f>POWER(10,(AI54*LOG(Q54/1000)-(AJ54)))</f>
        <v>0.91683667358551169</v>
      </c>
    </row>
    <row r="55" spans="3:37" ht="24" x14ac:dyDescent="0.35">
      <c r="C55" s="32" t="s">
        <v>523</v>
      </c>
      <c r="D55" s="32" t="s">
        <v>524</v>
      </c>
      <c r="F55" s="32" t="s">
        <v>393</v>
      </c>
      <c r="H55" s="63">
        <f t="shared" si="9"/>
        <v>0</v>
      </c>
      <c r="K55" s="32" t="s">
        <v>408</v>
      </c>
      <c r="L55" s="32" t="s">
        <v>408</v>
      </c>
      <c r="M55" s="32" t="s">
        <v>90</v>
      </c>
      <c r="N55" s="32" t="s">
        <v>90</v>
      </c>
    </row>
    <row r="56" spans="3:37" ht="24" x14ac:dyDescent="0.35">
      <c r="C56" s="32" t="s">
        <v>523</v>
      </c>
      <c r="D56" s="32" t="s">
        <v>525</v>
      </c>
      <c r="F56" s="32" t="s">
        <v>393</v>
      </c>
      <c r="H56" s="63">
        <f t="shared" si="9"/>
        <v>0</v>
      </c>
      <c r="K56" s="32" t="s">
        <v>408</v>
      </c>
      <c r="L56" s="32" t="s">
        <v>408</v>
      </c>
      <c r="M56" s="32" t="s">
        <v>90</v>
      </c>
      <c r="N56" s="32" t="s">
        <v>90</v>
      </c>
    </row>
    <row r="57" spans="3:37" ht="24" x14ac:dyDescent="0.35">
      <c r="C57" s="32" t="s">
        <v>526</v>
      </c>
      <c r="D57" s="32" t="s">
        <v>527</v>
      </c>
      <c r="F57" s="32" t="s">
        <v>393</v>
      </c>
      <c r="H57" s="63">
        <f t="shared" si="9"/>
        <v>0</v>
      </c>
      <c r="K57" s="32" t="s">
        <v>408</v>
      </c>
      <c r="L57" s="32" t="s">
        <v>408</v>
      </c>
      <c r="M57" s="32" t="s">
        <v>90</v>
      </c>
      <c r="N57" s="32" t="s">
        <v>90</v>
      </c>
    </row>
    <row r="58" spans="3:37" ht="24" x14ac:dyDescent="0.35">
      <c r="C58" s="32" t="s">
        <v>528</v>
      </c>
      <c r="D58" s="32" t="s">
        <v>529</v>
      </c>
      <c r="F58" s="32" t="s">
        <v>393</v>
      </c>
      <c r="H58" s="63">
        <f t="shared" si="9"/>
        <v>0</v>
      </c>
      <c r="K58" s="32" t="s">
        <v>408</v>
      </c>
      <c r="L58" s="32" t="s">
        <v>408</v>
      </c>
      <c r="M58" s="32" t="s">
        <v>90</v>
      </c>
      <c r="N58" s="32" t="s">
        <v>90</v>
      </c>
    </row>
    <row r="59" spans="3:37" ht="24" x14ac:dyDescent="0.35">
      <c r="C59" s="32" t="s">
        <v>528</v>
      </c>
      <c r="D59" s="32" t="s">
        <v>530</v>
      </c>
      <c r="F59" s="32" t="s">
        <v>393</v>
      </c>
      <c r="H59" s="63">
        <f t="shared" si="9"/>
        <v>0</v>
      </c>
      <c r="K59" s="32" t="s">
        <v>408</v>
      </c>
      <c r="L59" s="32" t="s">
        <v>408</v>
      </c>
      <c r="M59" s="32" t="s">
        <v>90</v>
      </c>
      <c r="N59" s="32" t="s">
        <v>90</v>
      </c>
    </row>
    <row r="60" spans="3:37" ht="24" x14ac:dyDescent="0.35">
      <c r="C60" s="32" t="s">
        <v>528</v>
      </c>
      <c r="D60" s="32" t="s">
        <v>531</v>
      </c>
      <c r="F60" s="32" t="s">
        <v>393</v>
      </c>
      <c r="H60" s="63">
        <f t="shared" si="9"/>
        <v>0</v>
      </c>
      <c r="K60" s="32" t="s">
        <v>408</v>
      </c>
      <c r="L60" s="32" t="s">
        <v>408</v>
      </c>
      <c r="M60" s="32" t="s">
        <v>90</v>
      </c>
      <c r="N60" s="32" t="s">
        <v>90</v>
      </c>
    </row>
    <row r="61" spans="3:37" ht="24" x14ac:dyDescent="0.35">
      <c r="C61" s="32" t="s">
        <v>532</v>
      </c>
      <c r="D61" s="32" t="s">
        <v>533</v>
      </c>
      <c r="F61" s="32" t="s">
        <v>393</v>
      </c>
      <c r="H61" s="63">
        <f t="shared" si="9"/>
        <v>0</v>
      </c>
      <c r="K61" s="32" t="s">
        <v>408</v>
      </c>
      <c r="L61" s="32" t="s">
        <v>408</v>
      </c>
      <c r="M61" s="32" t="s">
        <v>90</v>
      </c>
      <c r="N61" s="32" t="s">
        <v>90</v>
      </c>
    </row>
    <row r="62" spans="3:37" ht="24" x14ac:dyDescent="0.35">
      <c r="C62" s="32" t="s">
        <v>534</v>
      </c>
      <c r="D62" s="32" t="s">
        <v>535</v>
      </c>
      <c r="F62" s="32" t="s">
        <v>393</v>
      </c>
      <c r="H62" s="63">
        <f t="shared" si="9"/>
        <v>0</v>
      </c>
      <c r="K62" s="32" t="s">
        <v>408</v>
      </c>
      <c r="L62" s="32" t="s">
        <v>408</v>
      </c>
      <c r="M62" s="32" t="s">
        <v>90</v>
      </c>
      <c r="N62" s="32" t="s">
        <v>90</v>
      </c>
    </row>
    <row r="63" spans="3:37" ht="24" x14ac:dyDescent="0.35">
      <c r="C63" s="32" t="s">
        <v>534</v>
      </c>
      <c r="D63" s="32" t="s">
        <v>536</v>
      </c>
      <c r="F63" s="32" t="s">
        <v>393</v>
      </c>
      <c r="H63" s="63">
        <f t="shared" si="9"/>
        <v>0</v>
      </c>
      <c r="K63" s="32" t="s">
        <v>408</v>
      </c>
      <c r="L63" s="32" t="s">
        <v>408</v>
      </c>
      <c r="M63" s="32" t="s">
        <v>90</v>
      </c>
      <c r="N63" s="32" t="s">
        <v>90</v>
      </c>
    </row>
    <row r="64" spans="3:37" ht="24" x14ac:dyDescent="0.35">
      <c r="C64" s="32" t="s">
        <v>537</v>
      </c>
      <c r="D64" s="32" t="s">
        <v>533</v>
      </c>
      <c r="F64" s="32" t="s">
        <v>393</v>
      </c>
      <c r="H64" s="63">
        <f t="shared" si="9"/>
        <v>0</v>
      </c>
      <c r="K64" s="32" t="s">
        <v>408</v>
      </c>
      <c r="L64" s="32" t="s">
        <v>408</v>
      </c>
      <c r="M64" s="32" t="s">
        <v>90</v>
      </c>
      <c r="N64" s="32" t="s">
        <v>90</v>
      </c>
    </row>
    <row r="65" spans="3:14" ht="24" x14ac:dyDescent="0.35">
      <c r="C65" s="32" t="s">
        <v>537</v>
      </c>
      <c r="D65" s="32" t="s">
        <v>525</v>
      </c>
      <c r="F65" s="32" t="s">
        <v>393</v>
      </c>
      <c r="H65" s="63">
        <f t="shared" si="9"/>
        <v>0</v>
      </c>
      <c r="K65" s="32" t="s">
        <v>408</v>
      </c>
      <c r="L65" s="32" t="s">
        <v>408</v>
      </c>
      <c r="M65" s="32" t="s">
        <v>90</v>
      </c>
      <c r="N65" s="32" t="s">
        <v>90</v>
      </c>
    </row>
    <row r="66" spans="3:14" ht="24" x14ac:dyDescent="0.35">
      <c r="C66" s="32" t="s">
        <v>504</v>
      </c>
      <c r="D66" s="32" t="s">
        <v>538</v>
      </c>
      <c r="F66" s="32" t="s">
        <v>393</v>
      </c>
      <c r="H66" s="63">
        <f t="shared" si="9"/>
        <v>0</v>
      </c>
      <c r="K66" s="32" t="s">
        <v>408</v>
      </c>
      <c r="L66" s="32" t="s">
        <v>408</v>
      </c>
      <c r="M66" s="32" t="s">
        <v>90</v>
      </c>
      <c r="N66" s="32" t="s">
        <v>90</v>
      </c>
    </row>
    <row r="67" spans="3:14" ht="24" x14ac:dyDescent="0.35">
      <c r="C67" s="32" t="s">
        <v>504</v>
      </c>
      <c r="D67" s="32" t="s">
        <v>539</v>
      </c>
      <c r="F67" s="32" t="s">
        <v>393</v>
      </c>
      <c r="H67" s="63">
        <f t="shared" si="9"/>
        <v>0</v>
      </c>
      <c r="K67" s="32" t="s">
        <v>408</v>
      </c>
      <c r="L67" s="32" t="s">
        <v>408</v>
      </c>
      <c r="M67" s="32" t="s">
        <v>90</v>
      </c>
      <c r="N67" s="32" t="s">
        <v>90</v>
      </c>
    </row>
    <row r="68" spans="3:14" ht="24" x14ac:dyDescent="0.35">
      <c r="C68" s="32" t="s">
        <v>540</v>
      </c>
      <c r="D68" s="32" t="s">
        <v>533</v>
      </c>
      <c r="F68" s="32" t="s">
        <v>393</v>
      </c>
      <c r="H68" s="63">
        <f t="shared" si="9"/>
        <v>0</v>
      </c>
      <c r="K68" s="32" t="s">
        <v>408</v>
      </c>
      <c r="L68" s="32" t="s">
        <v>408</v>
      </c>
      <c r="M68" s="32" t="s">
        <v>90</v>
      </c>
      <c r="N68" s="32" t="s">
        <v>90</v>
      </c>
    </row>
    <row r="69" spans="3:14" ht="24" x14ac:dyDescent="0.35">
      <c r="C69" s="32" t="s">
        <v>540</v>
      </c>
      <c r="D69" s="32" t="s">
        <v>525</v>
      </c>
      <c r="F69" s="32" t="s">
        <v>393</v>
      </c>
      <c r="H69" s="63">
        <f t="shared" si="9"/>
        <v>0</v>
      </c>
      <c r="K69" s="32" t="s">
        <v>408</v>
      </c>
      <c r="L69" s="32" t="s">
        <v>408</v>
      </c>
      <c r="M69" s="32" t="s">
        <v>90</v>
      </c>
      <c r="N69" s="32" t="s">
        <v>90</v>
      </c>
    </row>
    <row r="70" spans="3:14" ht="24" x14ac:dyDescent="0.35">
      <c r="C70" s="32" t="s">
        <v>540</v>
      </c>
      <c r="D70" s="32" t="s">
        <v>529</v>
      </c>
      <c r="F70" s="32" t="s">
        <v>393</v>
      </c>
      <c r="H70" s="63">
        <f t="shared" si="9"/>
        <v>0</v>
      </c>
      <c r="K70" s="32" t="s">
        <v>408</v>
      </c>
      <c r="L70" s="32" t="s">
        <v>408</v>
      </c>
      <c r="M70" s="32" t="s">
        <v>90</v>
      </c>
      <c r="N70" s="32" t="s">
        <v>90</v>
      </c>
    </row>
    <row r="71" spans="3:14" ht="24" x14ac:dyDescent="0.35">
      <c r="C71" s="32" t="s">
        <v>540</v>
      </c>
      <c r="D71" s="32" t="s">
        <v>541</v>
      </c>
      <c r="F71" s="32" t="s">
        <v>393</v>
      </c>
      <c r="H71" s="63">
        <f t="shared" si="9"/>
        <v>0</v>
      </c>
      <c r="K71" s="32" t="s">
        <v>408</v>
      </c>
      <c r="L71" s="32" t="s">
        <v>408</v>
      </c>
      <c r="M71" s="32" t="s">
        <v>90</v>
      </c>
      <c r="N71" s="32" t="s">
        <v>90</v>
      </c>
    </row>
    <row r="72" spans="3:14" ht="24" x14ac:dyDescent="0.35">
      <c r="C72" s="32" t="s">
        <v>540</v>
      </c>
      <c r="D72" s="32" t="s">
        <v>531</v>
      </c>
      <c r="F72" s="32" t="s">
        <v>393</v>
      </c>
      <c r="H72" s="63">
        <f t="shared" si="9"/>
        <v>0</v>
      </c>
      <c r="K72" s="32" t="s">
        <v>408</v>
      </c>
      <c r="L72" s="32" t="s">
        <v>408</v>
      </c>
      <c r="M72" s="32" t="s">
        <v>90</v>
      </c>
      <c r="N72" s="32" t="s">
        <v>90</v>
      </c>
    </row>
    <row r="73" spans="3:14" ht="24" x14ac:dyDescent="0.35">
      <c r="C73" s="32" t="s">
        <v>540</v>
      </c>
      <c r="D73" s="32" t="s">
        <v>536</v>
      </c>
      <c r="F73" s="32" t="s">
        <v>393</v>
      </c>
      <c r="H73" s="63">
        <f t="shared" si="9"/>
        <v>0</v>
      </c>
      <c r="K73" s="32" t="s">
        <v>408</v>
      </c>
      <c r="L73" s="32" t="s">
        <v>408</v>
      </c>
      <c r="M73" s="32" t="s">
        <v>90</v>
      </c>
      <c r="N73" s="32" t="s">
        <v>90</v>
      </c>
    </row>
    <row r="74" spans="3:14" ht="24" x14ac:dyDescent="0.35">
      <c r="C74" s="32" t="s">
        <v>542</v>
      </c>
      <c r="D74" s="32" t="s">
        <v>533</v>
      </c>
      <c r="F74" s="32" t="s">
        <v>393</v>
      </c>
      <c r="H74" s="63">
        <f t="shared" si="9"/>
        <v>0</v>
      </c>
      <c r="K74" s="32" t="s">
        <v>408</v>
      </c>
      <c r="L74" s="32" t="s">
        <v>408</v>
      </c>
      <c r="M74" s="32" t="s">
        <v>90</v>
      </c>
      <c r="N74" s="32" t="s">
        <v>90</v>
      </c>
    </row>
    <row r="75" spans="3:14" ht="24" x14ac:dyDescent="0.35">
      <c r="C75" s="32" t="s">
        <v>542</v>
      </c>
      <c r="D75" s="32" t="s">
        <v>525</v>
      </c>
      <c r="F75" s="32" t="s">
        <v>393</v>
      </c>
      <c r="H75" s="63">
        <f t="shared" ref="H75:H77" si="10">X75</f>
        <v>0</v>
      </c>
      <c r="K75" s="32" t="s">
        <v>408</v>
      </c>
      <c r="L75" s="32" t="s">
        <v>408</v>
      </c>
      <c r="M75" s="32" t="s">
        <v>90</v>
      </c>
      <c r="N75" s="32" t="s">
        <v>90</v>
      </c>
    </row>
    <row r="76" spans="3:14" ht="24" x14ac:dyDescent="0.35">
      <c r="C76" s="32" t="s">
        <v>542</v>
      </c>
      <c r="D76" s="32" t="s">
        <v>529</v>
      </c>
      <c r="F76" s="32" t="s">
        <v>393</v>
      </c>
      <c r="H76" s="63">
        <f t="shared" si="10"/>
        <v>0</v>
      </c>
      <c r="K76" s="32" t="s">
        <v>408</v>
      </c>
      <c r="L76" s="32" t="s">
        <v>408</v>
      </c>
      <c r="M76" s="32" t="s">
        <v>90</v>
      </c>
      <c r="N76" s="32" t="s">
        <v>90</v>
      </c>
    </row>
    <row r="77" spans="3:14" ht="24" x14ac:dyDescent="0.35">
      <c r="C77" s="32" t="s">
        <v>542</v>
      </c>
      <c r="D77" s="32" t="s">
        <v>530</v>
      </c>
      <c r="F77" s="32" t="s">
        <v>393</v>
      </c>
      <c r="H77" s="63">
        <f t="shared" si="10"/>
        <v>0</v>
      </c>
      <c r="K77" s="32" t="s">
        <v>408</v>
      </c>
      <c r="L77" s="32" t="s">
        <v>408</v>
      </c>
      <c r="M77" s="32" t="s">
        <v>90</v>
      </c>
      <c r="N77" s="32" t="s">
        <v>90</v>
      </c>
    </row>
  </sheetData>
  <phoneticPr fontId="7" type="noConversion"/>
  <hyperlinks>
    <hyperlink ref="E5" r:id="rId1" location="Estimating-the-carbon-content-of-phages" xr:uid="{E53ED62D-E261-45EA-97AA-9081F5ACB0EB}"/>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4819F-3C5F-4314-85F5-E2770DCE07F1}">
  <dimension ref="A1:AA38"/>
  <sheetViews>
    <sheetView topLeftCell="A5" workbookViewId="0">
      <selection activeCell="C14" sqref="C14"/>
    </sheetView>
  </sheetViews>
  <sheetFormatPr defaultColWidth="8.7265625" defaultRowHeight="12.5" x14ac:dyDescent="0.25"/>
  <cols>
    <col min="1" max="1" width="8.7265625" style="81"/>
    <col min="2" max="2" width="29" style="82" customWidth="1"/>
    <col min="3" max="3" width="19.453125" style="82" customWidth="1"/>
    <col min="4" max="4" width="22.81640625" style="82" bestFit="1" customWidth="1"/>
    <col min="5" max="5" width="9.1796875" style="82" customWidth="1"/>
    <col min="6" max="16384" width="8.7265625" style="81"/>
  </cols>
  <sheetData>
    <row r="1" spans="1:5" ht="13" x14ac:dyDescent="0.3">
      <c r="A1" s="100" t="s">
        <v>543</v>
      </c>
      <c r="B1" s="81"/>
      <c r="C1" s="81"/>
      <c r="D1" s="81"/>
      <c r="E1" s="81"/>
    </row>
    <row r="2" spans="1:5" ht="13" x14ac:dyDescent="0.3">
      <c r="B2" s="99"/>
      <c r="C2" s="99"/>
      <c r="D2" s="99"/>
      <c r="E2" s="99"/>
    </row>
    <row r="3" spans="1:5" ht="13" x14ac:dyDescent="0.3">
      <c r="B3" s="98"/>
      <c r="C3" s="98"/>
      <c r="D3" s="99"/>
      <c r="E3" s="99"/>
    </row>
    <row r="4" spans="1:5" ht="13" x14ac:dyDescent="0.3">
      <c r="B4" s="99" t="s">
        <v>544</v>
      </c>
      <c r="C4" s="98"/>
      <c r="D4" s="99"/>
      <c r="E4" s="99"/>
    </row>
    <row r="5" spans="1:5" ht="13" x14ac:dyDescent="0.3">
      <c r="B5" s="81"/>
      <c r="C5" s="81"/>
      <c r="D5" s="99"/>
      <c r="E5" s="99"/>
    </row>
    <row r="6" spans="1:5" ht="13" x14ac:dyDescent="0.3">
      <c r="B6" s="98" t="s">
        <v>545</v>
      </c>
      <c r="C6" s="98">
        <v>20</v>
      </c>
      <c r="D6" s="99"/>
      <c r="E6" s="99"/>
    </row>
    <row r="7" spans="1:5" ht="13" x14ac:dyDescent="0.3">
      <c r="B7" s="98" t="s">
        <v>546</v>
      </c>
      <c r="C7" s="98">
        <v>30</v>
      </c>
      <c r="D7" s="99"/>
      <c r="E7" s="99"/>
    </row>
    <row r="8" spans="1:5" ht="13" x14ac:dyDescent="0.3">
      <c r="B8" s="98" t="s">
        <v>547</v>
      </c>
      <c r="C8" s="98">
        <f>C6+273.15</f>
        <v>293.14999999999998</v>
      </c>
      <c r="D8" s="99"/>
      <c r="E8" s="99"/>
    </row>
    <row r="9" spans="1:5" ht="13" x14ac:dyDescent="0.3">
      <c r="B9" s="98" t="s">
        <v>548</v>
      </c>
      <c r="C9" s="98">
        <f>C7+273.15</f>
        <v>303.14999999999998</v>
      </c>
      <c r="D9" s="99"/>
      <c r="E9" s="99"/>
    </row>
    <row r="10" spans="1:5" ht="13" x14ac:dyDescent="0.3">
      <c r="B10" s="141" t="s">
        <v>549</v>
      </c>
      <c r="C10" s="142">
        <v>2.7182818284590402</v>
      </c>
      <c r="D10" s="98"/>
      <c r="E10" s="99"/>
    </row>
    <row r="11" spans="1:5" ht="13" x14ac:dyDescent="0.3">
      <c r="B11" s="141" t="s">
        <v>550</v>
      </c>
      <c r="C11" s="142">
        <v>8.6173430000000006E-5</v>
      </c>
      <c r="D11" s="98"/>
      <c r="E11" s="99"/>
    </row>
    <row r="12" spans="1:5" ht="13" x14ac:dyDescent="0.3">
      <c r="B12" s="141" t="s">
        <v>551</v>
      </c>
      <c r="C12" s="141">
        <v>0.63</v>
      </c>
      <c r="D12" s="98"/>
      <c r="E12" s="99"/>
    </row>
    <row r="13" spans="1:5" ht="13" x14ac:dyDescent="0.3">
      <c r="B13" s="98" t="s">
        <v>552</v>
      </c>
      <c r="C13" s="98">
        <v>8.4500000000000006E-2</v>
      </c>
      <c r="D13" s="99"/>
      <c r="E13" s="99"/>
    </row>
    <row r="14" spans="1:5" ht="13" x14ac:dyDescent="0.3">
      <c r="B14" s="99" t="s">
        <v>553</v>
      </c>
      <c r="C14" s="99">
        <f>C13*POWER(C10,(-(C12/C11)*((1/C9)-(1/C8))))</f>
        <v>0.19236800715147737</v>
      </c>
      <c r="D14" s="99"/>
      <c r="E14" s="99"/>
    </row>
    <row r="15" spans="1:5" ht="13" x14ac:dyDescent="0.3">
      <c r="B15" s="99"/>
      <c r="C15" s="99"/>
      <c r="D15" s="99"/>
      <c r="E15" s="99"/>
    </row>
    <row r="17" spans="1:3" x14ac:dyDescent="0.25">
      <c r="A17" s="141" t="s">
        <v>554</v>
      </c>
      <c r="B17" s="81"/>
      <c r="C17" s="141"/>
    </row>
    <row r="18" spans="1:3" x14ac:dyDescent="0.25">
      <c r="A18" s="81" t="s">
        <v>555</v>
      </c>
      <c r="B18" s="98"/>
      <c r="C18" s="98"/>
    </row>
    <row r="19" spans="1:3" x14ac:dyDescent="0.25">
      <c r="A19" s="81" t="s">
        <v>556</v>
      </c>
      <c r="B19" s="98"/>
      <c r="C19" s="98"/>
    </row>
    <row r="20" spans="1:3" x14ac:dyDescent="0.25">
      <c r="A20" s="81" t="s">
        <v>557</v>
      </c>
      <c r="B20" s="98"/>
      <c r="C20" s="98"/>
    </row>
    <row r="21" spans="1:3" x14ac:dyDescent="0.25">
      <c r="A21" s="81" t="s">
        <v>558</v>
      </c>
      <c r="B21" s="98"/>
      <c r="C21" s="98"/>
    </row>
    <row r="22" spans="1:3" x14ac:dyDescent="0.25">
      <c r="A22" s="81" t="s">
        <v>559</v>
      </c>
      <c r="B22" s="98"/>
      <c r="C22" s="98"/>
    </row>
    <row r="23" spans="1:3" x14ac:dyDescent="0.25">
      <c r="A23" s="81" t="s">
        <v>560</v>
      </c>
      <c r="B23" s="98"/>
      <c r="C23" s="98"/>
    </row>
    <row r="38" spans="27:27" x14ac:dyDescent="0.25">
      <c r="AA38" s="81" t="s">
        <v>18</v>
      </c>
    </row>
  </sheetData>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19B59-68D8-4CDC-BAA2-FD636C1B189A}">
  <dimension ref="A1:C11"/>
  <sheetViews>
    <sheetView workbookViewId="0">
      <selection activeCell="D22" sqref="D22"/>
    </sheetView>
  </sheetViews>
  <sheetFormatPr defaultRowHeight="14.5" x14ac:dyDescent="0.35"/>
  <cols>
    <col min="2" max="2" width="21.1796875" bestFit="1" customWidth="1"/>
  </cols>
  <sheetData>
    <row r="1" spans="1:3" x14ac:dyDescent="0.35">
      <c r="A1" t="s">
        <v>561</v>
      </c>
    </row>
    <row r="4" spans="1:3" x14ac:dyDescent="0.35">
      <c r="B4" s="1" t="s">
        <v>562</v>
      </c>
      <c r="C4" s="1"/>
    </row>
    <row r="5" spans="1:3" x14ac:dyDescent="0.35">
      <c r="B5" s="1" t="s">
        <v>563</v>
      </c>
      <c r="C5" s="1"/>
    </row>
    <row r="6" spans="1:3" x14ac:dyDescent="0.35">
      <c r="B6" s="62" t="s">
        <v>544</v>
      </c>
    </row>
    <row r="7" spans="1:3" x14ac:dyDescent="0.35">
      <c r="B7" s="1" t="s">
        <v>564</v>
      </c>
      <c r="C7" s="1">
        <v>2</v>
      </c>
    </row>
    <row r="8" spans="1:3" x14ac:dyDescent="0.35">
      <c r="B8" s="1" t="s">
        <v>545</v>
      </c>
      <c r="C8" s="1">
        <v>20</v>
      </c>
    </row>
    <row r="9" spans="1:3" x14ac:dyDescent="0.35">
      <c r="B9" s="1" t="s">
        <v>552</v>
      </c>
      <c r="C9" s="1">
        <v>8.4500000000000006E-2</v>
      </c>
    </row>
    <row r="10" spans="1:3" x14ac:dyDescent="0.35">
      <c r="B10" s="1" t="s">
        <v>565</v>
      </c>
      <c r="C10" s="1">
        <v>30</v>
      </c>
    </row>
    <row r="11" spans="1:3" x14ac:dyDescent="0.35">
      <c r="B11" s="68" t="s">
        <v>553</v>
      </c>
      <c r="C11" s="68">
        <f>C9*POWER(C7,((C10-C8)/10))</f>
        <v>0.16900000000000001</v>
      </c>
    </row>
  </sheetData>
  <phoneticPr fontId="7"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BB359-D2E3-4D44-A934-925A7D47C7E6}">
  <dimension ref="A1:AA49"/>
  <sheetViews>
    <sheetView topLeftCell="C24" workbookViewId="0">
      <selection activeCell="C24" sqref="C24"/>
    </sheetView>
  </sheetViews>
  <sheetFormatPr defaultRowHeight="14.5" x14ac:dyDescent="0.35"/>
  <cols>
    <col min="2" max="2" width="11.81640625" style="85" bestFit="1" customWidth="1"/>
    <col min="3" max="3" width="47.453125" style="83" customWidth="1"/>
  </cols>
  <sheetData>
    <row r="1" spans="1:26" x14ac:dyDescent="0.35">
      <c r="A1" t="s">
        <v>566</v>
      </c>
    </row>
    <row r="2" spans="1:26" x14ac:dyDescent="0.35">
      <c r="B2" s="88" t="s">
        <v>23</v>
      </c>
      <c r="C2" s="84" t="s">
        <v>567</v>
      </c>
      <c r="D2" s="3"/>
      <c r="E2" s="3"/>
      <c r="F2" s="3"/>
      <c r="G2" s="3"/>
      <c r="H2" s="3"/>
      <c r="I2" s="3"/>
      <c r="J2" s="3"/>
      <c r="K2" s="3"/>
      <c r="L2" s="3"/>
      <c r="M2" s="3"/>
      <c r="N2" s="3"/>
      <c r="O2" s="3"/>
      <c r="P2" s="3"/>
      <c r="Q2" s="3"/>
      <c r="R2" s="3"/>
      <c r="S2" s="3"/>
      <c r="T2" s="3"/>
      <c r="U2" s="3"/>
      <c r="V2" s="3"/>
      <c r="W2" s="3"/>
      <c r="X2" s="3"/>
      <c r="Y2" s="3"/>
      <c r="Z2" s="3"/>
    </row>
    <row r="3" spans="1:26" x14ac:dyDescent="0.35">
      <c r="B3" s="85" t="s">
        <v>568</v>
      </c>
      <c r="C3" s="83" t="s">
        <v>569</v>
      </c>
      <c r="D3" s="3"/>
      <c r="E3" s="3"/>
      <c r="F3" s="3"/>
      <c r="G3" s="3"/>
      <c r="H3" s="3"/>
      <c r="I3" s="3"/>
      <c r="J3" s="3"/>
      <c r="K3" s="3"/>
      <c r="L3" s="3"/>
      <c r="M3" s="3"/>
      <c r="N3" s="3"/>
      <c r="O3" s="3"/>
      <c r="P3" s="3"/>
      <c r="Q3" s="3"/>
      <c r="R3" s="3"/>
      <c r="S3" s="3"/>
      <c r="T3" s="3"/>
      <c r="U3" s="3"/>
      <c r="V3" s="3"/>
      <c r="W3" s="3"/>
      <c r="X3" s="3"/>
      <c r="Y3" s="3"/>
      <c r="Z3" s="3"/>
    </row>
    <row r="4" spans="1:26" x14ac:dyDescent="0.35">
      <c r="C4" s="83" t="s">
        <v>570</v>
      </c>
      <c r="D4" s="3"/>
      <c r="E4" s="3"/>
      <c r="F4" s="3"/>
      <c r="G4" s="3"/>
      <c r="H4" s="3"/>
      <c r="I4" s="3"/>
      <c r="J4" s="3"/>
      <c r="K4" s="3"/>
      <c r="L4" s="3"/>
      <c r="M4" s="3"/>
      <c r="N4" s="3"/>
      <c r="O4" s="3"/>
      <c r="P4" s="3"/>
      <c r="Q4" s="3"/>
      <c r="R4" s="3"/>
      <c r="S4" s="3"/>
      <c r="T4" s="3"/>
      <c r="U4" s="3"/>
      <c r="V4" s="3"/>
      <c r="W4" s="3"/>
      <c r="X4" s="3"/>
      <c r="Y4" s="3"/>
      <c r="Z4" s="3"/>
    </row>
    <row r="5" spans="1:26" x14ac:dyDescent="0.35">
      <c r="C5" s="83" t="s">
        <v>571</v>
      </c>
      <c r="D5" s="3"/>
      <c r="E5" s="3"/>
      <c r="F5" s="3"/>
      <c r="G5" s="3"/>
      <c r="H5" s="3"/>
      <c r="I5" s="3"/>
      <c r="J5" s="3"/>
      <c r="K5" s="3"/>
      <c r="L5" s="3"/>
      <c r="M5" s="3"/>
      <c r="N5" s="3"/>
      <c r="O5" s="3"/>
      <c r="P5" s="3"/>
      <c r="Q5" s="3"/>
      <c r="R5" s="3"/>
      <c r="S5" s="3"/>
      <c r="T5" s="3"/>
      <c r="U5" s="3"/>
      <c r="V5" s="3"/>
      <c r="W5" s="3"/>
      <c r="X5" s="3"/>
      <c r="Y5" s="3"/>
      <c r="Z5" s="3"/>
    </row>
    <row r="6" spans="1:26" x14ac:dyDescent="0.35">
      <c r="C6" s="83" t="s">
        <v>572</v>
      </c>
      <c r="D6" s="3"/>
      <c r="E6" s="3"/>
      <c r="F6" s="3"/>
      <c r="G6" s="3"/>
      <c r="H6" s="3"/>
      <c r="I6" s="3"/>
      <c r="J6" s="3"/>
      <c r="K6" s="3"/>
      <c r="L6" s="3"/>
      <c r="M6" s="3"/>
      <c r="N6" s="3"/>
      <c r="O6" s="3"/>
      <c r="P6" s="3"/>
      <c r="Q6" s="3"/>
      <c r="R6" s="3"/>
      <c r="S6" s="3"/>
      <c r="T6" s="3"/>
      <c r="U6" s="3"/>
      <c r="V6" s="3"/>
      <c r="W6" s="3"/>
      <c r="X6" s="3"/>
      <c r="Y6" s="3"/>
      <c r="Z6" s="3"/>
    </row>
    <row r="7" spans="1:26" x14ac:dyDescent="0.35">
      <c r="C7" s="83" t="s">
        <v>573</v>
      </c>
      <c r="D7" s="3"/>
      <c r="E7" s="3"/>
      <c r="F7" s="3"/>
      <c r="G7" s="3"/>
      <c r="H7" s="3"/>
      <c r="I7" s="3"/>
      <c r="J7" s="3"/>
      <c r="K7" s="3"/>
      <c r="L7" s="3"/>
      <c r="M7" s="3"/>
      <c r="N7" s="3"/>
      <c r="O7" s="3"/>
      <c r="P7" s="3"/>
      <c r="Q7" s="3"/>
      <c r="R7" s="3"/>
      <c r="S7" s="3"/>
      <c r="T7" s="3"/>
      <c r="U7" s="3"/>
      <c r="V7" s="3"/>
      <c r="W7" s="3"/>
      <c r="X7" s="3"/>
      <c r="Y7" s="3"/>
      <c r="Z7" s="3"/>
    </row>
    <row r="8" spans="1:26" x14ac:dyDescent="0.35">
      <c r="C8" s="83" t="s">
        <v>574</v>
      </c>
      <c r="D8" s="3"/>
      <c r="E8" s="3"/>
      <c r="F8" s="3"/>
      <c r="G8" s="3"/>
      <c r="H8" s="3"/>
      <c r="I8" s="3"/>
      <c r="J8" s="3"/>
      <c r="K8" s="3"/>
      <c r="L8" s="3"/>
      <c r="M8" s="3"/>
      <c r="N8" s="3"/>
      <c r="O8" s="3"/>
      <c r="P8" s="3"/>
      <c r="Q8" s="3"/>
      <c r="R8" s="3"/>
      <c r="S8" s="3"/>
      <c r="T8" s="3"/>
      <c r="U8" s="3"/>
      <c r="V8" s="3"/>
      <c r="W8" s="3"/>
      <c r="X8" s="3"/>
      <c r="Y8" s="3"/>
      <c r="Z8" s="3"/>
    </row>
    <row r="9" spans="1:26" x14ac:dyDescent="0.35">
      <c r="C9" s="83" t="s">
        <v>575</v>
      </c>
      <c r="D9" s="3"/>
      <c r="E9" s="3"/>
      <c r="F9" s="3"/>
      <c r="G9" s="3"/>
      <c r="H9" s="3"/>
      <c r="I9" s="3"/>
      <c r="J9" s="3"/>
      <c r="K9" s="3"/>
      <c r="L9" s="3"/>
      <c r="M9" s="3"/>
      <c r="N9" s="3"/>
      <c r="O9" s="3"/>
      <c r="P9" s="3"/>
      <c r="Q9" s="3"/>
      <c r="R9" s="3"/>
      <c r="S9" s="3"/>
      <c r="T9" s="3"/>
      <c r="U9" s="3"/>
      <c r="V9" s="3"/>
      <c r="W9" s="3"/>
      <c r="X9" s="3"/>
      <c r="Y9" s="3"/>
      <c r="Z9" s="3"/>
    </row>
    <row r="10" spans="1:26" x14ac:dyDescent="0.35">
      <c r="B10" s="85" t="s">
        <v>576</v>
      </c>
      <c r="C10" s="83" t="s">
        <v>577</v>
      </c>
      <c r="D10" s="3"/>
      <c r="E10" s="3"/>
      <c r="F10" s="3"/>
      <c r="G10" s="3"/>
      <c r="H10" s="3"/>
      <c r="I10" s="3"/>
      <c r="J10" s="3"/>
      <c r="K10" s="3"/>
      <c r="L10" s="3"/>
      <c r="M10" s="3"/>
      <c r="N10" s="3"/>
      <c r="O10" s="3"/>
      <c r="P10" s="3"/>
      <c r="Q10" s="3"/>
      <c r="R10" s="3"/>
      <c r="S10" s="3"/>
      <c r="T10" s="3"/>
      <c r="U10" s="3"/>
      <c r="V10" s="3"/>
      <c r="W10" s="3"/>
      <c r="X10" s="3"/>
      <c r="Y10" s="3"/>
      <c r="Z10" s="3"/>
    </row>
    <row r="11" spans="1:26" x14ac:dyDescent="0.35">
      <c r="C11" s="83" t="s">
        <v>578</v>
      </c>
      <c r="D11" s="3"/>
      <c r="E11" s="3"/>
      <c r="F11" s="3"/>
      <c r="G11" s="3"/>
      <c r="H11" s="3"/>
      <c r="I11" s="3"/>
      <c r="J11" s="3"/>
      <c r="K11" s="3"/>
      <c r="L11" s="3"/>
      <c r="M11" s="3"/>
      <c r="N11" s="3"/>
      <c r="O11" s="3"/>
      <c r="P11" s="3"/>
      <c r="Q11" s="3"/>
      <c r="R11" s="3"/>
      <c r="S11" s="3"/>
      <c r="T11" s="3"/>
      <c r="U11" s="3"/>
      <c r="V11" s="3"/>
      <c r="W11" s="3"/>
      <c r="X11" s="3"/>
      <c r="Y11" s="3"/>
      <c r="Z11" s="3"/>
    </row>
    <row r="12" spans="1:26" ht="29" x14ac:dyDescent="0.35">
      <c r="C12" s="83" t="s">
        <v>579</v>
      </c>
    </row>
    <row r="13" spans="1:26" x14ac:dyDescent="0.35">
      <c r="C13" s="83" t="s">
        <v>580</v>
      </c>
    </row>
    <row r="14" spans="1:26" x14ac:dyDescent="0.35">
      <c r="C14" s="83" t="s">
        <v>581</v>
      </c>
    </row>
    <row r="15" spans="1:26" ht="58" x14ac:dyDescent="0.35">
      <c r="B15" s="85" t="s">
        <v>582</v>
      </c>
      <c r="C15" s="83" t="s">
        <v>583</v>
      </c>
    </row>
    <row r="16" spans="1:26" x14ac:dyDescent="0.35">
      <c r="C16" s="83" t="s">
        <v>584</v>
      </c>
    </row>
    <row r="17" spans="3:3" x14ac:dyDescent="0.35">
      <c r="C17" s="86" t="s">
        <v>585</v>
      </c>
    </row>
    <row r="18" spans="3:3" ht="29" x14ac:dyDescent="0.35">
      <c r="C18" s="87" t="s">
        <v>586</v>
      </c>
    </row>
    <row r="19" spans="3:3" ht="29" x14ac:dyDescent="0.35">
      <c r="C19" s="83" t="s">
        <v>587</v>
      </c>
    </row>
    <row r="20" spans="3:3" ht="15.5" x14ac:dyDescent="0.35">
      <c r="C20" s="89" t="s">
        <v>588</v>
      </c>
    </row>
    <row r="21" spans="3:3" ht="15.5" x14ac:dyDescent="0.35">
      <c r="C21" s="89" t="s">
        <v>589</v>
      </c>
    </row>
    <row r="22" spans="3:3" x14ac:dyDescent="0.35">
      <c r="C22" s="83" t="s">
        <v>590</v>
      </c>
    </row>
    <row r="23" spans="3:3" ht="15.5" x14ac:dyDescent="0.35">
      <c r="C23" s="89" t="s">
        <v>591</v>
      </c>
    </row>
    <row r="24" spans="3:3" ht="58" x14ac:dyDescent="0.35">
      <c r="C24" s="83" t="s">
        <v>592</v>
      </c>
    </row>
    <row r="25" spans="3:3" ht="43.5" x14ac:dyDescent="0.35">
      <c r="C25" s="83" t="s">
        <v>593</v>
      </c>
    </row>
    <row r="26" spans="3:3" ht="29" x14ac:dyDescent="0.35">
      <c r="C26" s="83" t="s">
        <v>594</v>
      </c>
    </row>
    <row r="49" spans="27:27" x14ac:dyDescent="0.35">
      <c r="AA49" t="s">
        <v>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93A9-B798-4D2C-AB9F-B3F50E887653}">
  <dimension ref="A1:Y70"/>
  <sheetViews>
    <sheetView zoomScaleNormal="100" workbookViewId="0">
      <selection activeCell="B8" sqref="B8:L8"/>
    </sheetView>
  </sheetViews>
  <sheetFormatPr defaultRowHeight="14.5" x14ac:dyDescent="0.35"/>
  <cols>
    <col min="2" max="2" width="15.453125" style="1" bestFit="1" customWidth="1"/>
    <col min="3" max="3" width="8.453125" style="1" bestFit="1" customWidth="1"/>
    <col min="4" max="4" width="6.54296875" style="1" bestFit="1" customWidth="1"/>
    <col min="5" max="5" width="16.1796875" style="1" bestFit="1" customWidth="1"/>
    <col min="6" max="6" width="5.54296875" style="1" bestFit="1" customWidth="1"/>
    <col min="7" max="7" width="11.81640625" style="80" bestFit="1" customWidth="1"/>
    <col min="8" max="8" width="5.54296875" style="1" bestFit="1" customWidth="1"/>
    <col min="9" max="9" width="13.81640625" style="1" customWidth="1"/>
    <col min="10" max="10" width="12" style="80" bestFit="1" customWidth="1"/>
    <col min="11" max="11" width="19.81640625" style="1" customWidth="1"/>
    <col min="12" max="12" width="15.54296875" style="1" bestFit="1" customWidth="1"/>
  </cols>
  <sheetData>
    <row r="1" spans="1:12" x14ac:dyDescent="0.35">
      <c r="A1" t="s">
        <v>595</v>
      </c>
    </row>
    <row r="2" spans="1:12" x14ac:dyDescent="0.35">
      <c r="B2" s="68" t="s">
        <v>596</v>
      </c>
      <c r="C2" s="68" t="s">
        <v>597</v>
      </c>
      <c r="D2" s="68" t="s">
        <v>598</v>
      </c>
      <c r="E2" s="68" t="s">
        <v>599</v>
      </c>
      <c r="F2" s="68" t="s">
        <v>600</v>
      </c>
      <c r="G2" s="92" t="s">
        <v>601</v>
      </c>
      <c r="H2" s="68" t="s">
        <v>600</v>
      </c>
      <c r="I2" s="68" t="s">
        <v>602</v>
      </c>
      <c r="J2" s="92" t="s">
        <v>603</v>
      </c>
      <c r="K2" s="68" t="s">
        <v>604</v>
      </c>
      <c r="L2" s="68" t="s">
        <v>605</v>
      </c>
    </row>
    <row r="3" spans="1:12" x14ac:dyDescent="0.35">
      <c r="B3" s="1" t="s">
        <v>606</v>
      </c>
      <c r="C3" s="1">
        <v>5</v>
      </c>
      <c r="D3" s="1" t="s">
        <v>607</v>
      </c>
      <c r="E3" s="1">
        <v>1.0000000000000001E-17</v>
      </c>
      <c r="F3" s="1">
        <v>11</v>
      </c>
      <c r="G3" s="80">
        <f>16/1000/1000/1000</f>
        <v>1.5999999999999998E-8</v>
      </c>
      <c r="H3" s="1">
        <v>7</v>
      </c>
      <c r="I3" s="1" t="s">
        <v>240</v>
      </c>
      <c r="J3" s="80" t="s">
        <v>253</v>
      </c>
      <c r="K3" s="1" t="s">
        <v>608</v>
      </c>
      <c r="L3" s="1" t="s">
        <v>609</v>
      </c>
    </row>
    <row r="4" spans="1:12" x14ac:dyDescent="0.35">
      <c r="B4" s="1" t="s">
        <v>606</v>
      </c>
      <c r="C4" s="1">
        <v>5</v>
      </c>
      <c r="D4" s="1" t="s">
        <v>610</v>
      </c>
      <c r="E4" s="1">
        <v>1.0000000000000001E-15</v>
      </c>
      <c r="F4" s="1">
        <v>11</v>
      </c>
      <c r="G4" s="80">
        <f>300/1000/1000/1000</f>
        <v>2.9999999999999999E-7</v>
      </c>
      <c r="H4" s="1">
        <v>7</v>
      </c>
      <c r="I4" s="1" t="s">
        <v>238</v>
      </c>
      <c r="J4" s="80" t="s">
        <v>253</v>
      </c>
      <c r="K4" s="1" t="s">
        <v>611</v>
      </c>
      <c r="L4" s="1" t="s">
        <v>609</v>
      </c>
    </row>
    <row r="5" spans="1:12" x14ac:dyDescent="0.35">
      <c r="B5" s="1" t="s">
        <v>612</v>
      </c>
      <c r="C5" s="1">
        <v>4</v>
      </c>
      <c r="D5" s="1" t="s">
        <v>607</v>
      </c>
      <c r="E5" s="1">
        <v>5E-15</v>
      </c>
      <c r="F5" s="1">
        <v>10</v>
      </c>
      <c r="G5" s="80">
        <v>1.9999999999999999E-7</v>
      </c>
      <c r="H5" s="1">
        <v>6</v>
      </c>
      <c r="I5" s="1" t="s">
        <v>238</v>
      </c>
      <c r="J5" s="80" t="s">
        <v>253</v>
      </c>
      <c r="K5" s="1" t="s">
        <v>124</v>
      </c>
      <c r="L5" s="1" t="s">
        <v>85</v>
      </c>
    </row>
    <row r="6" spans="1:12" x14ac:dyDescent="0.35">
      <c r="B6" s="1" t="s">
        <v>612</v>
      </c>
      <c r="C6" s="1">
        <v>4</v>
      </c>
      <c r="D6" s="1" t="s">
        <v>610</v>
      </c>
      <c r="E6" s="1">
        <f>0.000000000001177/2</f>
        <v>5.8849999999999997E-13</v>
      </c>
      <c r="F6" s="1">
        <v>10</v>
      </c>
      <c r="G6" s="80">
        <v>1E-4</v>
      </c>
      <c r="H6" s="1">
        <v>6</v>
      </c>
      <c r="I6" s="1" t="s">
        <v>238</v>
      </c>
      <c r="J6" s="80" t="s">
        <v>252</v>
      </c>
      <c r="K6" s="1" t="s">
        <v>109</v>
      </c>
      <c r="L6" s="1" t="s">
        <v>613</v>
      </c>
    </row>
    <row r="7" spans="1:12" x14ac:dyDescent="0.35">
      <c r="B7" s="1" t="s">
        <v>614</v>
      </c>
      <c r="C7" s="1">
        <v>3</v>
      </c>
      <c r="D7" s="1" t="s">
        <v>607</v>
      </c>
      <c r="E7" s="1">
        <v>1.4398966328953216E-11</v>
      </c>
      <c r="F7" s="1">
        <v>5</v>
      </c>
      <c r="G7" s="80">
        <f>15/1000/1000</f>
        <v>1.4999999999999999E-5</v>
      </c>
      <c r="H7" s="1">
        <v>4</v>
      </c>
      <c r="I7" s="1" t="s">
        <v>238</v>
      </c>
      <c r="J7" s="80" t="s">
        <v>252</v>
      </c>
      <c r="L7" s="1" t="s">
        <v>615</v>
      </c>
    </row>
    <row r="8" spans="1:12" x14ac:dyDescent="0.35">
      <c r="B8" s="1" t="s">
        <v>614</v>
      </c>
      <c r="C8" s="1">
        <v>3</v>
      </c>
      <c r="D8" s="1" t="s">
        <v>610</v>
      </c>
      <c r="E8" s="80">
        <v>2.5918139392115797E-6</v>
      </c>
      <c r="F8" s="1">
        <v>5</v>
      </c>
      <c r="G8" s="80">
        <f>2000/1000/1000</f>
        <v>2E-3</v>
      </c>
      <c r="H8" s="1">
        <v>4</v>
      </c>
      <c r="I8" s="80" t="s">
        <v>232</v>
      </c>
      <c r="J8" s="80" t="s">
        <v>251</v>
      </c>
      <c r="L8" s="1" t="s">
        <v>616</v>
      </c>
    </row>
    <row r="9" spans="1:12" x14ac:dyDescent="0.35">
      <c r="B9" s="1" t="s">
        <v>617</v>
      </c>
      <c r="C9" s="1">
        <v>2</v>
      </c>
      <c r="D9" s="1" t="s">
        <v>607</v>
      </c>
      <c r="E9" s="80">
        <v>1.0000000000000001E-9</v>
      </c>
      <c r="F9" s="1">
        <v>3</v>
      </c>
      <c r="G9" s="80">
        <f>64/1000/1000</f>
        <v>6.3999999999999997E-5</v>
      </c>
      <c r="H9" s="1">
        <v>3</v>
      </c>
      <c r="I9" s="1" t="s">
        <v>238</v>
      </c>
      <c r="J9" s="80" t="s">
        <v>252</v>
      </c>
      <c r="K9" s="1" t="s">
        <v>618</v>
      </c>
      <c r="L9" s="1" t="s">
        <v>618</v>
      </c>
    </row>
    <row r="10" spans="1:12" x14ac:dyDescent="0.35">
      <c r="B10" s="1" t="s">
        <v>617</v>
      </c>
      <c r="C10" s="1">
        <v>2</v>
      </c>
      <c r="D10" s="1" t="s">
        <v>610</v>
      </c>
      <c r="E10" s="80">
        <v>1.0000000000000001E-5</v>
      </c>
      <c r="F10" s="1">
        <v>3</v>
      </c>
      <c r="G10" s="80">
        <f>3/1000</f>
        <v>3.0000000000000001E-3</v>
      </c>
      <c r="H10" s="1">
        <v>3</v>
      </c>
      <c r="I10" s="80" t="s">
        <v>232</v>
      </c>
      <c r="J10" s="80" t="s">
        <v>251</v>
      </c>
      <c r="K10" s="1" t="s">
        <v>618</v>
      </c>
      <c r="L10" s="1" t="s">
        <v>618</v>
      </c>
    </row>
    <row r="11" spans="1:12" x14ac:dyDescent="0.35">
      <c r="B11" s="1" t="s">
        <v>619</v>
      </c>
      <c r="C11" s="1">
        <v>1</v>
      </c>
      <c r="D11" s="1" t="s">
        <v>607</v>
      </c>
      <c r="E11" s="80">
        <v>1.4999999999999999E-7</v>
      </c>
      <c r="F11" s="1">
        <v>9</v>
      </c>
      <c r="G11" s="80">
        <f>2/1000</f>
        <v>2E-3</v>
      </c>
      <c r="H11" s="1">
        <v>6</v>
      </c>
      <c r="I11" s="80" t="s">
        <v>232</v>
      </c>
      <c r="J11" s="80" t="s">
        <v>251</v>
      </c>
      <c r="K11" s="80" t="s">
        <v>620</v>
      </c>
      <c r="L11" s="80" t="s">
        <v>198</v>
      </c>
    </row>
    <row r="12" spans="1:12" x14ac:dyDescent="0.35">
      <c r="B12" s="1" t="s">
        <v>619</v>
      </c>
      <c r="C12" s="1">
        <v>1</v>
      </c>
      <c r="D12" s="1" t="s">
        <v>610</v>
      </c>
      <c r="E12" s="80">
        <v>1</v>
      </c>
      <c r="F12" s="1">
        <v>9</v>
      </c>
      <c r="G12" s="80">
        <v>0.2</v>
      </c>
      <c r="H12" s="1">
        <v>6</v>
      </c>
      <c r="I12" s="80" t="s">
        <v>265</v>
      </c>
      <c r="J12" s="80" t="s">
        <v>84</v>
      </c>
      <c r="K12" s="1" t="s">
        <v>611</v>
      </c>
      <c r="L12" s="1" t="s">
        <v>621</v>
      </c>
    </row>
    <row r="13" spans="1:12" x14ac:dyDescent="0.35">
      <c r="B13" s="1" t="s">
        <v>226</v>
      </c>
      <c r="C13" s="1" t="s">
        <v>90</v>
      </c>
      <c r="D13" s="1" t="s">
        <v>607</v>
      </c>
      <c r="E13" s="80">
        <v>1</v>
      </c>
      <c r="F13" s="1">
        <v>1</v>
      </c>
      <c r="G13" s="80" t="s">
        <v>90</v>
      </c>
    </row>
    <row r="14" spans="1:12" x14ac:dyDescent="0.35">
      <c r="B14" s="1" t="s">
        <v>226</v>
      </c>
      <c r="C14" s="1" t="s">
        <v>90</v>
      </c>
      <c r="D14" s="1" t="s">
        <v>610</v>
      </c>
      <c r="E14" s="80">
        <f>POWER(10,-3)</f>
        <v>1E-3</v>
      </c>
      <c r="F14" s="1">
        <v>1</v>
      </c>
      <c r="G14" s="80" t="s">
        <v>90</v>
      </c>
    </row>
    <row r="15" spans="1:12" x14ac:dyDescent="0.35">
      <c r="B15" s="1" t="s">
        <v>232</v>
      </c>
      <c r="C15" s="1" t="s">
        <v>90</v>
      </c>
      <c r="D15" s="1" t="s">
        <v>607</v>
      </c>
      <c r="E15" s="80">
        <f>POWER(10,-3)</f>
        <v>1E-3</v>
      </c>
      <c r="F15" s="1">
        <v>1</v>
      </c>
      <c r="G15" s="80" t="s">
        <v>90</v>
      </c>
    </row>
    <row r="16" spans="1:12" x14ac:dyDescent="0.35">
      <c r="B16" s="1" t="s">
        <v>232</v>
      </c>
      <c r="C16" s="1" t="s">
        <v>90</v>
      </c>
      <c r="D16" s="1" t="s">
        <v>610</v>
      </c>
      <c r="E16" s="80">
        <f>POWER(10,-6)</f>
        <v>9.9999999999999995E-7</v>
      </c>
      <c r="F16" s="1">
        <v>1</v>
      </c>
      <c r="G16" s="80" t="s">
        <v>90</v>
      </c>
      <c r="I16" s="4"/>
    </row>
    <row r="17" spans="2:11" x14ac:dyDescent="0.35">
      <c r="B17" s="1" t="s">
        <v>234</v>
      </c>
      <c r="C17" s="1" t="s">
        <v>90</v>
      </c>
      <c r="D17" s="1" t="s">
        <v>607</v>
      </c>
      <c r="E17" s="80">
        <f>POWER(10,-6)</f>
        <v>9.9999999999999995E-7</v>
      </c>
      <c r="F17" s="1">
        <v>1</v>
      </c>
      <c r="G17" s="80" t="s">
        <v>90</v>
      </c>
    </row>
    <row r="18" spans="2:11" x14ac:dyDescent="0.35">
      <c r="B18" s="1" t="s">
        <v>234</v>
      </c>
      <c r="C18" s="1" t="s">
        <v>90</v>
      </c>
      <c r="D18" s="1" t="s">
        <v>610</v>
      </c>
      <c r="E18" s="80">
        <f>POWER(10,-9)</f>
        <v>1.0000000000000001E-9</v>
      </c>
      <c r="F18" s="1">
        <v>1</v>
      </c>
      <c r="G18" s="80" t="s">
        <v>90</v>
      </c>
    </row>
    <row r="19" spans="2:11" x14ac:dyDescent="0.35">
      <c r="B19" s="1" t="s">
        <v>236</v>
      </c>
      <c r="C19" s="1" t="s">
        <v>90</v>
      </c>
      <c r="D19" s="1" t="s">
        <v>607</v>
      </c>
      <c r="E19" s="80">
        <f>POWER(10,-9)</f>
        <v>1.0000000000000001E-9</v>
      </c>
      <c r="F19" s="1">
        <v>1</v>
      </c>
      <c r="G19" s="80" t="s">
        <v>90</v>
      </c>
    </row>
    <row r="20" spans="2:11" x14ac:dyDescent="0.35">
      <c r="B20" s="1" t="s">
        <v>236</v>
      </c>
      <c r="C20" s="1" t="s">
        <v>90</v>
      </c>
      <c r="D20" s="1" t="s">
        <v>610</v>
      </c>
      <c r="E20" s="80">
        <f>POWER(10,-12)</f>
        <v>9.9999999999999998E-13</v>
      </c>
      <c r="F20" s="1">
        <v>1</v>
      </c>
      <c r="G20" s="80" t="s">
        <v>90</v>
      </c>
    </row>
    <row r="21" spans="2:11" x14ac:dyDescent="0.35">
      <c r="B21" s="1" t="s">
        <v>238</v>
      </c>
      <c r="C21" s="1" t="s">
        <v>90</v>
      </c>
      <c r="D21" s="1" t="s">
        <v>607</v>
      </c>
      <c r="E21" s="80">
        <f>POWER(10,-12)</f>
        <v>9.9999999999999998E-13</v>
      </c>
      <c r="F21" s="1">
        <v>1</v>
      </c>
      <c r="G21" s="80" t="s">
        <v>90</v>
      </c>
    </row>
    <row r="22" spans="2:11" x14ac:dyDescent="0.35">
      <c r="B22" s="1" t="s">
        <v>238</v>
      </c>
      <c r="C22" s="1" t="s">
        <v>90</v>
      </c>
      <c r="D22" s="1" t="s">
        <v>610</v>
      </c>
      <c r="E22" s="80">
        <f>POWER(10,-15)</f>
        <v>1.0000000000000001E-15</v>
      </c>
      <c r="F22" s="1">
        <v>1</v>
      </c>
      <c r="G22" s="80" t="s">
        <v>90</v>
      </c>
    </row>
    <row r="23" spans="2:11" x14ac:dyDescent="0.35">
      <c r="B23" s="1" t="s">
        <v>240</v>
      </c>
      <c r="C23" s="1" t="s">
        <v>90</v>
      </c>
      <c r="D23" s="1" t="s">
        <v>607</v>
      </c>
      <c r="E23" s="80">
        <f>POWER(10,-15)</f>
        <v>1.0000000000000001E-15</v>
      </c>
      <c r="F23" s="1">
        <v>1</v>
      </c>
      <c r="G23" s="80" t="s">
        <v>90</v>
      </c>
    </row>
    <row r="24" spans="2:11" x14ac:dyDescent="0.35">
      <c r="B24" s="1" t="s">
        <v>240</v>
      </c>
      <c r="C24" s="1" t="s">
        <v>90</v>
      </c>
      <c r="D24" s="1" t="s">
        <v>610</v>
      </c>
      <c r="E24" s="80">
        <f>POWER(10,-18)</f>
        <v>1.0000000000000001E-18</v>
      </c>
      <c r="F24" s="1">
        <v>1</v>
      </c>
      <c r="G24" s="80" t="s">
        <v>90</v>
      </c>
    </row>
    <row r="25" spans="2:11" x14ac:dyDescent="0.35">
      <c r="B25" s="1" t="s">
        <v>248</v>
      </c>
      <c r="C25" s="1" t="s">
        <v>90</v>
      </c>
      <c r="D25" s="1" t="s">
        <v>607</v>
      </c>
      <c r="E25" s="1" t="s">
        <v>90</v>
      </c>
      <c r="G25" s="80">
        <v>1</v>
      </c>
      <c r="H25" s="1">
        <v>1</v>
      </c>
      <c r="K25" s="1" t="s">
        <v>622</v>
      </c>
    </row>
    <row r="26" spans="2:11" x14ac:dyDescent="0.35">
      <c r="B26" s="1" t="s">
        <v>248</v>
      </c>
      <c r="C26" s="1" t="s">
        <v>90</v>
      </c>
      <c r="D26" s="1" t="s">
        <v>610</v>
      </c>
      <c r="E26" s="1" t="s">
        <v>90</v>
      </c>
      <c r="G26" s="80">
        <f>POWER(10,-2)</f>
        <v>0.01</v>
      </c>
      <c r="H26" s="1">
        <v>1</v>
      </c>
    </row>
    <row r="27" spans="2:11" x14ac:dyDescent="0.35">
      <c r="B27" s="1" t="s">
        <v>251</v>
      </c>
      <c r="C27" s="1" t="s">
        <v>90</v>
      </c>
      <c r="D27" s="1" t="s">
        <v>607</v>
      </c>
      <c r="E27" s="1" t="s">
        <v>90</v>
      </c>
      <c r="G27" s="80">
        <f>POWER(10,-2)</f>
        <v>0.01</v>
      </c>
      <c r="H27" s="1">
        <v>1</v>
      </c>
    </row>
    <row r="28" spans="2:11" x14ac:dyDescent="0.35">
      <c r="B28" s="1" t="s">
        <v>251</v>
      </c>
      <c r="C28" s="1" t="s">
        <v>90</v>
      </c>
      <c r="D28" s="1" t="s">
        <v>610</v>
      </c>
      <c r="E28" s="1" t="s">
        <v>90</v>
      </c>
      <c r="G28" s="80">
        <f>POWER(10,-3)</f>
        <v>1E-3</v>
      </c>
      <c r="H28" s="1">
        <v>1</v>
      </c>
    </row>
    <row r="29" spans="2:11" x14ac:dyDescent="0.35">
      <c r="B29" s="1" t="s">
        <v>252</v>
      </c>
      <c r="C29" s="1" t="s">
        <v>90</v>
      </c>
      <c r="D29" s="1" t="s">
        <v>607</v>
      </c>
      <c r="E29" s="1" t="s">
        <v>90</v>
      </c>
      <c r="G29" s="80">
        <f>POWER(10,-3)</f>
        <v>1E-3</v>
      </c>
      <c r="H29" s="1">
        <v>1</v>
      </c>
    </row>
    <row r="30" spans="2:11" x14ac:dyDescent="0.35">
      <c r="B30" s="1" t="s">
        <v>252</v>
      </c>
      <c r="C30" s="1" t="s">
        <v>90</v>
      </c>
      <c r="D30" s="1" t="s">
        <v>610</v>
      </c>
      <c r="E30" s="1" t="s">
        <v>90</v>
      </c>
      <c r="G30" s="80">
        <f>POWER(10,-6)</f>
        <v>9.9999999999999995E-7</v>
      </c>
      <c r="H30" s="1">
        <v>1</v>
      </c>
    </row>
    <row r="31" spans="2:11" x14ac:dyDescent="0.35">
      <c r="B31" s="1" t="s">
        <v>253</v>
      </c>
      <c r="C31" s="1" t="s">
        <v>90</v>
      </c>
      <c r="D31" s="1" t="s">
        <v>607</v>
      </c>
      <c r="E31" s="1" t="s">
        <v>90</v>
      </c>
      <c r="G31" s="80">
        <f>POWER(10,-6)</f>
        <v>9.9999999999999995E-7</v>
      </c>
      <c r="H31" s="1">
        <v>1</v>
      </c>
    </row>
    <row r="32" spans="2:11" x14ac:dyDescent="0.35">
      <c r="B32" s="1" t="s">
        <v>253</v>
      </c>
      <c r="C32" s="1" t="s">
        <v>90</v>
      </c>
      <c r="D32" s="1" t="s">
        <v>610</v>
      </c>
      <c r="E32" s="1" t="s">
        <v>90</v>
      </c>
      <c r="G32" s="80">
        <f>POWER(10,-9)</f>
        <v>1.0000000000000001E-9</v>
      </c>
      <c r="H32" s="1">
        <v>1</v>
      </c>
    </row>
    <row r="38" spans="25:25" x14ac:dyDescent="0.35">
      <c r="Y38" t="s">
        <v>18</v>
      </c>
    </row>
    <row r="64" spans="3:4" x14ac:dyDescent="0.35">
      <c r="C64" s="80"/>
      <c r="D64" s="80"/>
    </row>
    <row r="65" spans="3:4" x14ac:dyDescent="0.35">
      <c r="C65" s="80"/>
      <c r="D65" s="80"/>
    </row>
    <row r="66" spans="3:4" x14ac:dyDescent="0.35">
      <c r="C66" s="80"/>
      <c r="D66" s="80"/>
    </row>
    <row r="67" spans="3:4" x14ac:dyDescent="0.35">
      <c r="C67" s="80"/>
      <c r="D67" s="80"/>
    </row>
    <row r="68" spans="3:4" x14ac:dyDescent="0.35">
      <c r="C68" s="80"/>
      <c r="D68" s="80"/>
    </row>
    <row r="69" spans="3:4" x14ac:dyDescent="0.35">
      <c r="C69" s="80"/>
      <c r="D69" s="80"/>
    </row>
    <row r="70" spans="3:4" x14ac:dyDescent="0.35">
      <c r="C70" s="80"/>
      <c r="D70" s="80"/>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5D72-52B3-441F-9C75-6320F25AEC2F}">
  <dimension ref="A1:L8"/>
  <sheetViews>
    <sheetView workbookViewId="0">
      <selection activeCell="H4" sqref="A1:H4"/>
    </sheetView>
  </sheetViews>
  <sheetFormatPr defaultRowHeight="14.5" x14ac:dyDescent="0.35"/>
  <cols>
    <col min="1" max="1" width="16.54296875" bestFit="1" customWidth="1"/>
    <col min="2" max="2" width="14.7265625" bestFit="1" customWidth="1"/>
    <col min="3" max="3" width="15.1796875" bestFit="1" customWidth="1"/>
    <col min="4" max="4" width="21" customWidth="1"/>
    <col min="5" max="5" width="21" bestFit="1" customWidth="1"/>
    <col min="6" max="6" width="14.81640625" bestFit="1" customWidth="1"/>
    <col min="7" max="7" width="13.1796875" customWidth="1"/>
    <col min="8" max="8" width="12" customWidth="1"/>
  </cols>
  <sheetData>
    <row r="1" spans="1:12" x14ac:dyDescent="0.35">
      <c r="A1" s="62" t="s">
        <v>23</v>
      </c>
      <c r="B1" s="68" t="s">
        <v>623</v>
      </c>
      <c r="C1" s="68" t="s">
        <v>624</v>
      </c>
      <c r="D1" s="68" t="s">
        <v>625</v>
      </c>
      <c r="E1" s="62" t="s">
        <v>626</v>
      </c>
      <c r="F1" s="68" t="s">
        <v>627</v>
      </c>
      <c r="G1" s="92" t="s">
        <v>628</v>
      </c>
      <c r="H1" s="68" t="s">
        <v>629</v>
      </c>
      <c r="I1" s="68" t="s">
        <v>630</v>
      </c>
      <c r="J1" s="92"/>
      <c r="K1" s="68"/>
      <c r="L1" s="68"/>
    </row>
    <row r="2" spans="1:12" x14ac:dyDescent="0.35">
      <c r="A2" s="1" t="s">
        <v>404</v>
      </c>
      <c r="B2" s="80">
        <v>5E-15</v>
      </c>
      <c r="C2" s="80">
        <f>0.000000000001177/2</f>
        <v>5.8849999999999997E-13</v>
      </c>
      <c r="D2" s="79">
        <v>1.96</v>
      </c>
      <c r="E2" s="79">
        <v>0.73</v>
      </c>
      <c r="F2" s="79" t="s">
        <v>90</v>
      </c>
      <c r="G2" s="79" t="s">
        <v>90</v>
      </c>
      <c r="H2" s="79">
        <v>-0.23</v>
      </c>
      <c r="I2" s="1" t="s">
        <v>631</v>
      </c>
      <c r="J2" s="80"/>
      <c r="K2" s="1"/>
      <c r="L2" s="1"/>
    </row>
    <row r="3" spans="1:12" x14ac:dyDescent="0.35">
      <c r="A3" s="1" t="s">
        <v>133</v>
      </c>
      <c r="B3" s="80">
        <v>1.4398966328953216E-11</v>
      </c>
      <c r="C3" s="80">
        <v>2.5918139392115797E-6</v>
      </c>
      <c r="D3" s="79">
        <v>1.06</v>
      </c>
      <c r="E3" s="79">
        <v>-0.26</v>
      </c>
      <c r="F3" s="79" t="s">
        <v>90</v>
      </c>
      <c r="G3" s="79" t="s">
        <v>90</v>
      </c>
      <c r="H3" s="79">
        <v>-0.32</v>
      </c>
      <c r="I3" s="1" t="s">
        <v>631</v>
      </c>
      <c r="J3" s="80"/>
      <c r="K3" s="1"/>
      <c r="L3" s="1"/>
    </row>
    <row r="4" spans="1:12" x14ac:dyDescent="0.35">
      <c r="A4" s="1" t="s">
        <v>174</v>
      </c>
      <c r="B4" s="80">
        <v>1.0000000000000001E-9</v>
      </c>
      <c r="C4" s="80">
        <v>1.0000000000000001E-5</v>
      </c>
      <c r="D4" s="79">
        <v>0.79</v>
      </c>
      <c r="E4" s="79">
        <v>-0.23</v>
      </c>
      <c r="F4" s="79" t="s">
        <v>90</v>
      </c>
      <c r="G4" s="79" t="s">
        <v>90</v>
      </c>
      <c r="H4" s="79">
        <v>-0.02</v>
      </c>
      <c r="I4" s="1" t="s">
        <v>631</v>
      </c>
      <c r="J4" s="80"/>
      <c r="K4" s="1"/>
      <c r="L4" s="1"/>
    </row>
    <row r="5" spans="1:12" x14ac:dyDescent="0.35">
      <c r="A5" t="s">
        <v>404</v>
      </c>
      <c r="B5" s="145">
        <v>5E-15</v>
      </c>
      <c r="C5" s="80">
        <v>5.8849999999999997E-13</v>
      </c>
      <c r="D5" s="79">
        <v>2</v>
      </c>
      <c r="E5" s="79">
        <v>0.75</v>
      </c>
      <c r="F5" s="79">
        <v>-2</v>
      </c>
      <c r="G5" s="79">
        <v>-1</v>
      </c>
      <c r="H5" s="79">
        <v>-0.24999999999999964</v>
      </c>
      <c r="I5" t="s">
        <v>632</v>
      </c>
      <c r="K5" s="1"/>
      <c r="L5" s="1"/>
    </row>
    <row r="6" spans="1:12" x14ac:dyDescent="0.35">
      <c r="A6" t="s">
        <v>133</v>
      </c>
      <c r="B6" s="145">
        <v>1.4398966328953216E-11</v>
      </c>
      <c r="C6" s="145">
        <v>2.5918139392115797E-6</v>
      </c>
      <c r="D6" s="144">
        <v>1</v>
      </c>
      <c r="E6" s="144">
        <v>-0.25</v>
      </c>
      <c r="F6" s="144">
        <v>-1</v>
      </c>
      <c r="G6" s="79">
        <v>0</v>
      </c>
      <c r="H6" s="79">
        <v>-0.25</v>
      </c>
      <c r="I6" t="s">
        <v>632</v>
      </c>
      <c r="J6" s="80"/>
      <c r="K6" s="1"/>
      <c r="L6" s="1"/>
    </row>
    <row r="7" spans="1:12" x14ac:dyDescent="0.35">
      <c r="A7" t="s">
        <v>174</v>
      </c>
      <c r="B7" s="145">
        <v>1.0000000000000001E-9</v>
      </c>
      <c r="C7" s="145">
        <v>1.0000000000000001E-5</v>
      </c>
      <c r="D7" s="144">
        <v>0.75</v>
      </c>
      <c r="E7" s="144">
        <v>-0.25</v>
      </c>
      <c r="F7" s="144">
        <v>-0.75</v>
      </c>
      <c r="G7" s="79">
        <v>0.25</v>
      </c>
      <c r="H7" s="79">
        <v>0</v>
      </c>
      <c r="I7" t="s">
        <v>632</v>
      </c>
      <c r="J7" s="80"/>
      <c r="K7" s="1"/>
      <c r="L7" s="1"/>
    </row>
    <row r="8" spans="1:12" x14ac:dyDescent="0.35">
      <c r="G8" s="80"/>
      <c r="H8" s="1"/>
      <c r="I8" s="80"/>
      <c r="J8" s="80"/>
      <c r="K8" s="1"/>
      <c r="L8"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9237-3BC9-445B-B48A-11E94A427FED}">
  <dimension ref="A1:AH36"/>
  <sheetViews>
    <sheetView topLeftCell="A24" zoomScale="50" zoomScaleNormal="50" workbookViewId="0">
      <selection activeCell="Q26" sqref="Q26"/>
    </sheetView>
  </sheetViews>
  <sheetFormatPr defaultRowHeight="14.5" x14ac:dyDescent="0.35"/>
  <cols>
    <col min="1" max="2" width="13.1796875" customWidth="1"/>
    <col min="3" max="3" width="25.453125" bestFit="1" customWidth="1"/>
    <col min="4" max="4" width="7.7265625" style="1" bestFit="1" customWidth="1"/>
    <col min="5" max="5" width="9.7265625" style="1" bestFit="1" customWidth="1"/>
    <col min="6" max="10" width="9" style="79" bestFit="1" customWidth="1"/>
    <col min="11" max="11" width="9" style="79" customWidth="1"/>
    <col min="12" max="12" width="11.81640625" style="79" bestFit="1" customWidth="1"/>
    <col min="13" max="13" width="2.453125" style="79" customWidth="1"/>
    <col min="14" max="14" width="12.26953125" style="79" customWidth="1"/>
    <col min="15" max="15" width="12.26953125" style="1" customWidth="1"/>
    <col min="16" max="16" width="12.26953125" style="95" customWidth="1"/>
    <col min="17" max="18" width="12.26953125" style="1" customWidth="1"/>
    <col min="19" max="19" width="12.26953125" style="79" customWidth="1"/>
    <col min="20" max="20" width="13" style="80" bestFit="1" customWidth="1"/>
    <col min="21" max="22" width="11.81640625" style="1" bestFit="1" customWidth="1"/>
    <col min="23" max="24" width="9.81640625" style="1" bestFit="1" customWidth="1"/>
    <col min="25" max="25" width="8.453125" style="1" bestFit="1" customWidth="1"/>
    <col min="26" max="26" width="2.453125" customWidth="1"/>
    <col min="27" max="27" width="5" style="1" customWidth="1"/>
    <col min="28" max="28" width="10.54296875" bestFit="1" customWidth="1"/>
    <col min="29" max="30" width="13" style="1" customWidth="1"/>
    <col min="31" max="32" width="15.453125" style="1" bestFit="1" customWidth="1"/>
    <col min="33" max="33" width="13.453125" style="1" bestFit="1" customWidth="1"/>
    <col min="34" max="34" width="12.1796875" bestFit="1" customWidth="1"/>
  </cols>
  <sheetData>
    <row r="1" spans="1:34" x14ac:dyDescent="0.35">
      <c r="A1" t="s">
        <v>633</v>
      </c>
      <c r="B1" t="s">
        <v>634</v>
      </c>
      <c r="C1" t="s">
        <v>23</v>
      </c>
      <c r="D1" s="1" t="s">
        <v>635</v>
      </c>
      <c r="E1" s="1" t="s">
        <v>636</v>
      </c>
      <c r="F1" s="138" t="s">
        <v>637</v>
      </c>
      <c r="G1" s="138" t="s">
        <v>638</v>
      </c>
      <c r="H1" s="138" t="s">
        <v>639</v>
      </c>
      <c r="I1" s="138" t="s">
        <v>640</v>
      </c>
      <c r="J1" s="138" t="s">
        <v>641</v>
      </c>
      <c r="K1" s="138" t="s">
        <v>642</v>
      </c>
      <c r="L1" s="138" t="s">
        <v>643</v>
      </c>
      <c r="M1" s="79" t="s">
        <v>644</v>
      </c>
      <c r="N1" s="138" t="s">
        <v>645</v>
      </c>
      <c r="O1" s="68" t="s">
        <v>646</v>
      </c>
      <c r="P1" s="139" t="s">
        <v>647</v>
      </c>
      <c r="Q1" s="68" t="s">
        <v>648</v>
      </c>
      <c r="R1" s="68" t="s">
        <v>649</v>
      </c>
      <c r="S1" s="138" t="s">
        <v>645</v>
      </c>
      <c r="T1" s="80" t="s">
        <v>650</v>
      </c>
      <c r="U1" s="1" t="s">
        <v>651</v>
      </c>
      <c r="V1" s="1" t="s">
        <v>652</v>
      </c>
      <c r="W1" s="1" t="s">
        <v>653</v>
      </c>
      <c r="X1" s="1" t="s">
        <v>654</v>
      </c>
      <c r="Y1" s="1" t="s">
        <v>655</v>
      </c>
      <c r="Z1" s="1" t="s">
        <v>656</v>
      </c>
      <c r="AA1" s="1" t="s">
        <v>657</v>
      </c>
      <c r="AC1" s="1" t="s">
        <v>658</v>
      </c>
      <c r="AD1" s="1" t="s">
        <v>659</v>
      </c>
      <c r="AE1" s="1" t="s">
        <v>660</v>
      </c>
      <c r="AF1" s="1" t="s">
        <v>661</v>
      </c>
      <c r="AG1" s="1" t="s">
        <v>662</v>
      </c>
      <c r="AH1" s="1" t="s">
        <v>663</v>
      </c>
    </row>
    <row r="2" spans="1:34" x14ac:dyDescent="0.35">
      <c r="A2" t="s">
        <v>664</v>
      </c>
      <c r="B2" t="s">
        <v>632</v>
      </c>
      <c r="C2" t="s">
        <v>404</v>
      </c>
      <c r="D2" s="1" t="s">
        <v>93</v>
      </c>
      <c r="E2" s="80">
        <f>'9 fig. 1'!E$3</f>
        <v>1.0000000000000001E-17</v>
      </c>
      <c r="F2" s="79">
        <f>LOG(E2)</f>
        <v>-17</v>
      </c>
      <c r="G2" s="79">
        <f>N2*$F2</f>
        <v>-34</v>
      </c>
      <c r="H2" s="79">
        <f>O2*$F2</f>
        <v>-12.75</v>
      </c>
      <c r="I2" s="79">
        <f>P2*$F2</f>
        <v>34</v>
      </c>
      <c r="J2" s="79">
        <f t="shared" ref="J2:J11" si="0">LOG(W2)</f>
        <v>17</v>
      </c>
      <c r="K2" s="79">
        <f t="shared" ref="K2:K11" si="1">LOG(X2)</f>
        <v>4.2499999999999991</v>
      </c>
      <c r="L2" s="79">
        <f t="shared" ref="L2:L11" si="2">LOG(Y2)</f>
        <v>-12.750000000000002</v>
      </c>
      <c r="N2" s="79">
        <v>2</v>
      </c>
      <c r="O2" s="79">
        <v>0.75</v>
      </c>
      <c r="P2" s="79">
        <f>-N2</f>
        <v>-2</v>
      </c>
      <c r="Q2" s="79">
        <f>SLOPE(J2:J3,F2:F3)</f>
        <v>-0.99999999999999956</v>
      </c>
      <c r="R2" s="79">
        <f>SLOPE(K2:K3,F2:F3)</f>
        <v>-0.24999999999999964</v>
      </c>
      <c r="S2" s="79">
        <v>-0.5</v>
      </c>
      <c r="T2" s="80">
        <f>POWER(10,G2)</f>
        <v>1.0000000000000001E-34</v>
      </c>
      <c r="U2" s="1">
        <f>POWER(10,H2)</f>
        <v>1.7782794100389184E-13</v>
      </c>
      <c r="V2" s="1">
        <f>POWER(10,I2)</f>
        <v>9.9999999999999995E+33</v>
      </c>
      <c r="W2" s="80">
        <f t="shared" ref="W2:W11" si="3">V2*E2</f>
        <v>1E+17</v>
      </c>
      <c r="X2" s="80">
        <f t="shared" ref="X2:X11" si="4">W2*U2</f>
        <v>17782.794100389183</v>
      </c>
      <c r="Y2" s="80">
        <f t="shared" ref="Y2:Y11" si="5">X2/W2</f>
        <v>1.7782794100389182E-13</v>
      </c>
      <c r="AA2" s="79" t="s">
        <v>665</v>
      </c>
      <c r="AC2" s="1" t="s">
        <v>631</v>
      </c>
      <c r="AD2" s="1" t="s">
        <v>631</v>
      </c>
      <c r="AF2" s="80" t="s">
        <v>666</v>
      </c>
      <c r="AG2" s="80" t="s">
        <v>667</v>
      </c>
      <c r="AH2" t="s">
        <v>668</v>
      </c>
    </row>
    <row r="3" spans="1:34" x14ac:dyDescent="0.35">
      <c r="B3" t="s">
        <v>632</v>
      </c>
      <c r="C3" t="s">
        <v>404</v>
      </c>
      <c r="D3" s="1" t="s">
        <v>131</v>
      </c>
      <c r="E3" s="80">
        <f>'9 fig. 1'!E$6</f>
        <v>5.8849999999999997E-13</v>
      </c>
      <c r="F3" s="79">
        <f t="shared" ref="F3:F11" si="6">LOG(E3)</f>
        <v>-12.230253532820546</v>
      </c>
      <c r="G3" s="79">
        <f t="shared" ref="G3:G11" si="7">N3*$F3</f>
        <v>-24.460507065641092</v>
      </c>
      <c r="H3" s="79">
        <f t="shared" ref="H3:H11" si="8">O3*$F3</f>
        <v>-9.1726901496154092</v>
      </c>
      <c r="I3" s="79">
        <f t="shared" ref="I3:I11" si="9">P3*$F3</f>
        <v>24.460507065641092</v>
      </c>
      <c r="J3" s="79">
        <f t="shared" si="0"/>
        <v>12.230253532820548</v>
      </c>
      <c r="K3" s="79">
        <f t="shared" si="1"/>
        <v>3.0575633832051374</v>
      </c>
      <c r="L3" s="79">
        <f t="shared" si="2"/>
        <v>-9.172690149615411</v>
      </c>
      <c r="N3" s="79">
        <v>2</v>
      </c>
      <c r="O3" s="79">
        <v>0.75</v>
      </c>
      <c r="P3" s="79">
        <f t="shared" ref="P3:P11" si="10">-N3</f>
        <v>-2</v>
      </c>
      <c r="Q3" s="79">
        <f>SLOPE(J2:J3,F2:F3)</f>
        <v>-0.99999999999999956</v>
      </c>
      <c r="R3" s="79">
        <f>SLOPE(K2:K3,F2:F3)</f>
        <v>-0.24999999999999964</v>
      </c>
      <c r="S3" s="79">
        <v>-0.5</v>
      </c>
      <c r="T3" s="80">
        <f t="shared" ref="T3:T11" si="11">POWER(10,G3)</f>
        <v>3.4633224999999871E-25</v>
      </c>
      <c r="U3" s="1">
        <f>POWER(10,H3)</f>
        <v>6.7190805938447397E-10</v>
      </c>
      <c r="V3" s="1">
        <f t="shared" ref="V3:V11" si="12">POWER(10,I3)</f>
        <v>2.887400754622198E+24</v>
      </c>
      <c r="W3" s="80">
        <f t="shared" si="3"/>
        <v>1699235344095.1633</v>
      </c>
      <c r="X3" s="80">
        <f t="shared" si="4"/>
        <v>1141.72992248849</v>
      </c>
      <c r="Y3" s="80">
        <f t="shared" si="5"/>
        <v>6.7190805938447397E-10</v>
      </c>
      <c r="AA3" s="79" t="s">
        <v>665</v>
      </c>
      <c r="AC3" s="1" t="s">
        <v>631</v>
      </c>
      <c r="AD3" s="1" t="s">
        <v>631</v>
      </c>
      <c r="AF3" s="80" t="s">
        <v>666</v>
      </c>
      <c r="AG3" s="80" t="s">
        <v>667</v>
      </c>
      <c r="AH3" t="s">
        <v>668</v>
      </c>
    </row>
    <row r="4" spans="1:34" x14ac:dyDescent="0.35">
      <c r="B4" t="s">
        <v>632</v>
      </c>
      <c r="C4" t="s">
        <v>669</v>
      </c>
      <c r="D4" s="1" t="s">
        <v>93</v>
      </c>
      <c r="E4" s="80">
        <f>'9 fig. 1'!E$7</f>
        <v>1.4398966328953216E-11</v>
      </c>
      <c r="F4" s="79">
        <f t="shared" si="6"/>
        <v>-10.841668683859247</v>
      </c>
      <c r="G4" s="79">
        <f t="shared" si="7"/>
        <v>-10.841668683859247</v>
      </c>
      <c r="H4" s="79">
        <f t="shared" si="8"/>
        <v>2.7104171709648117</v>
      </c>
      <c r="I4" s="79">
        <f t="shared" si="9"/>
        <v>10.841668683859247</v>
      </c>
      <c r="J4" s="79">
        <f t="shared" si="0"/>
        <v>8.6789471989795751E-16</v>
      </c>
      <c r="K4" s="79">
        <f t="shared" si="1"/>
        <v>2.710417170964813</v>
      </c>
      <c r="L4" s="79">
        <f t="shared" si="2"/>
        <v>2.7104171709648122</v>
      </c>
      <c r="N4" s="79">
        <v>1</v>
      </c>
      <c r="O4" s="79">
        <v>-0.25</v>
      </c>
      <c r="P4" s="79">
        <f t="shared" si="10"/>
        <v>-1</v>
      </c>
      <c r="Q4" s="79">
        <f>SLOPE(J4:J5,F4:F5)</f>
        <v>3.6699427693496119E-17</v>
      </c>
      <c r="R4" s="79">
        <f>SLOPE(K4:K5,F4:F5)</f>
        <v>-0.25</v>
      </c>
      <c r="S4" s="79">
        <v>-1.5</v>
      </c>
      <c r="T4" s="80">
        <f t="shared" si="11"/>
        <v>1.4398966328953187E-11</v>
      </c>
      <c r="U4" s="1">
        <f t="shared" ref="U4:U11" si="13">POWER(10,H4)</f>
        <v>513.35426077837792</v>
      </c>
      <c r="V4" s="1">
        <f t="shared" si="12"/>
        <v>69449429712.827209</v>
      </c>
      <c r="W4" s="80">
        <f t="shared" si="3"/>
        <v>1.000000000000002</v>
      </c>
      <c r="X4" s="80">
        <f t="shared" si="4"/>
        <v>513.35426077837894</v>
      </c>
      <c r="Y4" s="80">
        <f t="shared" si="5"/>
        <v>513.35426077837792</v>
      </c>
      <c r="AA4" s="79" t="s">
        <v>665</v>
      </c>
      <c r="AC4" s="1" t="s">
        <v>631</v>
      </c>
      <c r="AD4" s="1" t="s">
        <v>631</v>
      </c>
      <c r="AF4" s="80" t="s">
        <v>666</v>
      </c>
      <c r="AG4" s="80" t="s">
        <v>667</v>
      </c>
      <c r="AH4" t="s">
        <v>668</v>
      </c>
    </row>
    <row r="5" spans="1:34" x14ac:dyDescent="0.35">
      <c r="B5" t="s">
        <v>632</v>
      </c>
      <c r="C5" t="s">
        <v>669</v>
      </c>
      <c r="D5" s="1" t="s">
        <v>131</v>
      </c>
      <c r="E5" s="80">
        <f>'9 fig. 1'!E$8</f>
        <v>2.5918139392115797E-6</v>
      </c>
      <c r="F5" s="79">
        <f t="shared" si="6"/>
        <v>-5.5863961787559413</v>
      </c>
      <c r="G5" s="79">
        <f t="shared" si="7"/>
        <v>-5.5863961787559413</v>
      </c>
      <c r="H5" s="79">
        <f t="shared" si="8"/>
        <v>1.3965990446889853</v>
      </c>
      <c r="I5" s="79">
        <f t="shared" si="9"/>
        <v>5.5863961787559413</v>
      </c>
      <c r="J5" s="79">
        <f t="shared" si="0"/>
        <v>1.0607602132086145E-15</v>
      </c>
      <c r="K5" s="79">
        <f t="shared" si="1"/>
        <v>1.3965990446889867</v>
      </c>
      <c r="L5" s="79">
        <f t="shared" si="2"/>
        <v>1.3965990446889855</v>
      </c>
      <c r="N5" s="79">
        <v>1</v>
      </c>
      <c r="O5" s="79">
        <v>-0.25</v>
      </c>
      <c r="P5" s="79">
        <f t="shared" si="10"/>
        <v>-1</v>
      </c>
      <c r="Q5" s="79">
        <f>SLOPE(J4:J5,F4:F5)</f>
        <v>3.6699427693496119E-17</v>
      </c>
      <c r="R5" s="79">
        <f>SLOPE(K4:K5,F4:F5)</f>
        <v>-0.25</v>
      </c>
      <c r="S5" s="79">
        <v>-1.5</v>
      </c>
      <c r="T5" s="80">
        <f t="shared" si="11"/>
        <v>2.5918139392115733E-6</v>
      </c>
      <c r="U5" s="1">
        <f t="shared" si="13"/>
        <v>24.922926957879806</v>
      </c>
      <c r="V5" s="1">
        <f t="shared" si="12"/>
        <v>385830.16507126234</v>
      </c>
      <c r="W5" s="80">
        <f t="shared" si="3"/>
        <v>1.0000000000000024</v>
      </c>
      <c r="X5" s="80">
        <f t="shared" si="4"/>
        <v>24.922926957879866</v>
      </c>
      <c r="Y5" s="80">
        <f t="shared" si="5"/>
        <v>24.922926957879806</v>
      </c>
      <c r="AA5" s="79" t="s">
        <v>665</v>
      </c>
      <c r="AC5" s="1" t="s">
        <v>631</v>
      </c>
      <c r="AD5" s="1" t="s">
        <v>631</v>
      </c>
      <c r="AF5" s="80" t="s">
        <v>666</v>
      </c>
      <c r="AG5" s="80" t="s">
        <v>667</v>
      </c>
      <c r="AH5" t="s">
        <v>668</v>
      </c>
    </row>
    <row r="6" spans="1:34" x14ac:dyDescent="0.35">
      <c r="B6" t="s">
        <v>632</v>
      </c>
      <c r="C6" t="s">
        <v>670</v>
      </c>
      <c r="D6" s="1" t="s">
        <v>93</v>
      </c>
      <c r="E6" s="80">
        <f>'9 fig. 1'!E$9</f>
        <v>1.0000000000000001E-9</v>
      </c>
      <c r="F6" s="79">
        <f t="shared" si="6"/>
        <v>-9</v>
      </c>
      <c r="G6" s="79">
        <f t="shared" si="7"/>
        <v>-6.75</v>
      </c>
      <c r="H6" s="79">
        <f t="shared" si="8"/>
        <v>2.25</v>
      </c>
      <c r="I6" s="79">
        <f t="shared" si="9"/>
        <v>6.75</v>
      </c>
      <c r="J6" s="79">
        <f t="shared" si="0"/>
        <v>-2.2499999999999996</v>
      </c>
      <c r="K6" s="79">
        <f t="shared" si="1"/>
        <v>8.6789471989795751E-16</v>
      </c>
      <c r="L6" s="79">
        <f t="shared" si="2"/>
        <v>2.2500000000000004</v>
      </c>
      <c r="N6" s="79">
        <v>0.75</v>
      </c>
      <c r="O6" s="79">
        <v>-0.25</v>
      </c>
      <c r="P6" s="79">
        <f t="shared" si="10"/>
        <v>-0.75</v>
      </c>
      <c r="Q6" s="79">
        <f>SLOPE(J6:J7,F6:F7)</f>
        <v>0.25000000000000006</v>
      </c>
      <c r="R6" s="79">
        <f>SLOPE(K6:K7,F6:F7)</f>
        <v>0</v>
      </c>
      <c r="S6" s="79">
        <v>-1.25</v>
      </c>
      <c r="T6" s="80">
        <f t="shared" si="11"/>
        <v>1.7782794100389206E-7</v>
      </c>
      <c r="U6" s="1">
        <f t="shared" si="13"/>
        <v>177.82794100389242</v>
      </c>
      <c r="V6" s="1">
        <f t="shared" si="12"/>
        <v>5623413.2519034976</v>
      </c>
      <c r="W6" s="80">
        <f t="shared" si="3"/>
        <v>5.6234132519034979E-3</v>
      </c>
      <c r="X6" s="80">
        <f t="shared" si="4"/>
        <v>1.000000000000002</v>
      </c>
      <c r="Y6" s="80">
        <f t="shared" si="5"/>
        <v>177.82794100389242</v>
      </c>
      <c r="AA6" s="79" t="s">
        <v>665</v>
      </c>
      <c r="AC6" s="1" t="s">
        <v>631</v>
      </c>
      <c r="AD6" s="1" t="s">
        <v>631</v>
      </c>
      <c r="AE6" s="1" t="s">
        <v>671</v>
      </c>
      <c r="AF6" s="1" t="s">
        <v>671</v>
      </c>
      <c r="AG6" s="80" t="s">
        <v>667</v>
      </c>
      <c r="AH6" t="s">
        <v>668</v>
      </c>
    </row>
    <row r="7" spans="1:34" x14ac:dyDescent="0.35">
      <c r="B7" t="s">
        <v>632</v>
      </c>
      <c r="C7" t="s">
        <v>670</v>
      </c>
      <c r="D7" s="1" t="s">
        <v>131</v>
      </c>
      <c r="E7" s="80">
        <f>'9 fig. 1'!E$10</f>
        <v>1.0000000000000001E-5</v>
      </c>
      <c r="F7" s="79">
        <f t="shared" si="6"/>
        <v>-5</v>
      </c>
      <c r="G7" s="79">
        <f t="shared" si="7"/>
        <v>-3.75</v>
      </c>
      <c r="H7" s="79">
        <f t="shared" si="8"/>
        <v>1.25</v>
      </c>
      <c r="I7" s="79">
        <f t="shared" si="9"/>
        <v>3.75</v>
      </c>
      <c r="J7" s="79">
        <f t="shared" si="0"/>
        <v>-1.2499999999999993</v>
      </c>
      <c r="K7" s="79">
        <f t="shared" si="1"/>
        <v>8.6789471989795751E-16</v>
      </c>
      <c r="L7" s="79">
        <f t="shared" si="2"/>
        <v>1.2500000000000002</v>
      </c>
      <c r="N7" s="79">
        <v>0.75</v>
      </c>
      <c r="O7" s="79">
        <v>-0.25</v>
      </c>
      <c r="P7" s="79">
        <f t="shared" si="10"/>
        <v>-0.75</v>
      </c>
      <c r="Q7" s="79">
        <f>SLOPE(J6:J7,F6:F7)</f>
        <v>0.25000000000000006</v>
      </c>
      <c r="R7" s="79">
        <f>SLOPE(K6:K7,F6:F7)</f>
        <v>0</v>
      </c>
      <c r="S7" s="79">
        <v>-1.25</v>
      </c>
      <c r="T7" s="80">
        <f t="shared" si="11"/>
        <v>1.7782794100389203E-4</v>
      </c>
      <c r="U7" s="1">
        <f t="shared" si="13"/>
        <v>17.782794100389236</v>
      </c>
      <c r="V7" s="1">
        <f t="shared" si="12"/>
        <v>5623.4132519034993</v>
      </c>
      <c r="W7" s="80">
        <f t="shared" si="3"/>
        <v>5.6234132519034995E-2</v>
      </c>
      <c r="X7" s="80">
        <f t="shared" si="4"/>
        <v>1.000000000000002</v>
      </c>
      <c r="Y7" s="80">
        <f t="shared" si="5"/>
        <v>17.782794100389236</v>
      </c>
      <c r="AA7" s="79" t="s">
        <v>665</v>
      </c>
      <c r="AC7" s="1" t="s">
        <v>631</v>
      </c>
      <c r="AD7" s="1" t="s">
        <v>631</v>
      </c>
      <c r="AE7" s="1" t="s">
        <v>671</v>
      </c>
      <c r="AF7" s="1" t="s">
        <v>671</v>
      </c>
      <c r="AG7" s="80" t="s">
        <v>667</v>
      </c>
      <c r="AH7" t="s">
        <v>668</v>
      </c>
    </row>
    <row r="8" spans="1:34" x14ac:dyDescent="0.35">
      <c r="B8" t="s">
        <v>632</v>
      </c>
      <c r="C8" t="s">
        <v>672</v>
      </c>
      <c r="D8" s="1" t="s">
        <v>93</v>
      </c>
      <c r="E8" s="80">
        <f>'9 fig. 1'!E$11</f>
        <v>1.4999999999999999E-7</v>
      </c>
      <c r="F8" s="79">
        <f t="shared" si="6"/>
        <v>-6.8239087409443187</v>
      </c>
      <c r="G8" s="79">
        <f t="shared" si="7"/>
        <v>-5.117931555708239</v>
      </c>
      <c r="H8" s="79">
        <f t="shared" si="8"/>
        <v>1.7059771852360797</v>
      </c>
      <c r="I8" s="79">
        <f t="shared" si="9"/>
        <v>5.117931555708239</v>
      </c>
      <c r="J8" s="79">
        <f t="shared" si="0"/>
        <v>-1.7059771852360792</v>
      </c>
      <c r="K8" s="79">
        <f t="shared" si="1"/>
        <v>5.7859647993197191E-16</v>
      </c>
      <c r="L8" s="79">
        <f t="shared" si="2"/>
        <v>1.7059771852360799</v>
      </c>
      <c r="N8" s="79">
        <v>0.75</v>
      </c>
      <c r="O8" s="79">
        <v>-0.25</v>
      </c>
      <c r="P8" s="79">
        <f t="shared" si="10"/>
        <v>-0.75</v>
      </c>
      <c r="Q8" s="79">
        <f>SLOPE(J8:J9,F8:F9)</f>
        <v>0.24999999999999992</v>
      </c>
      <c r="R8" s="79">
        <f>SLOPE(K8:K9,F8:F9)</f>
        <v>-8.4789598146340898E-17</v>
      </c>
      <c r="S8" s="79">
        <v>-1.25</v>
      </c>
      <c r="T8" s="80">
        <f t="shared" si="11"/>
        <v>7.6219912223192143E-6</v>
      </c>
      <c r="U8" s="1">
        <f t="shared" si="13"/>
        <v>50.81327481546149</v>
      </c>
      <c r="V8" s="1">
        <f t="shared" si="12"/>
        <v>131199.31141769548</v>
      </c>
      <c r="W8" s="80">
        <f t="shared" si="3"/>
        <v>1.9679896712654323E-2</v>
      </c>
      <c r="X8" s="80">
        <f t="shared" si="4"/>
        <v>1.0000000000000013</v>
      </c>
      <c r="Y8" s="80">
        <f t="shared" si="5"/>
        <v>50.81327481546149</v>
      </c>
      <c r="AA8" s="79" t="s">
        <v>665</v>
      </c>
      <c r="AC8" s="1" t="s">
        <v>631</v>
      </c>
      <c r="AD8" s="1" t="s">
        <v>631</v>
      </c>
      <c r="AE8" s="1" t="s">
        <v>671</v>
      </c>
      <c r="AF8" s="1" t="s">
        <v>671</v>
      </c>
      <c r="AG8" s="80" t="s">
        <v>667</v>
      </c>
      <c r="AH8" t="s">
        <v>668</v>
      </c>
    </row>
    <row r="9" spans="1:34" x14ac:dyDescent="0.35">
      <c r="B9" t="s">
        <v>632</v>
      </c>
      <c r="C9" t="s">
        <v>672</v>
      </c>
      <c r="D9" s="1" t="s">
        <v>131</v>
      </c>
      <c r="E9" s="80">
        <f>'9 fig. 1'!E$12</f>
        <v>1</v>
      </c>
      <c r="F9" s="79">
        <f t="shared" si="6"/>
        <v>0</v>
      </c>
      <c r="G9" s="79">
        <f t="shared" si="7"/>
        <v>0</v>
      </c>
      <c r="H9" s="79">
        <f t="shared" si="8"/>
        <v>0</v>
      </c>
      <c r="I9" s="79">
        <f t="shared" si="9"/>
        <v>0</v>
      </c>
      <c r="J9" s="79">
        <f t="shared" si="0"/>
        <v>0</v>
      </c>
      <c r="K9" s="79">
        <f t="shared" si="1"/>
        <v>0</v>
      </c>
      <c r="L9" s="79">
        <f t="shared" si="2"/>
        <v>0</v>
      </c>
      <c r="N9" s="79">
        <v>0.75</v>
      </c>
      <c r="O9" s="79">
        <v>-0.25</v>
      </c>
      <c r="P9" s="79">
        <f t="shared" si="10"/>
        <v>-0.75</v>
      </c>
      <c r="Q9" s="79">
        <f>SLOPE(J8:J9,F8:F9)</f>
        <v>0.24999999999999992</v>
      </c>
      <c r="R9" s="79">
        <f>SLOPE(K8:K9,F8:F9)</f>
        <v>-8.4789598146340898E-17</v>
      </c>
      <c r="S9" s="79">
        <v>-1.25</v>
      </c>
      <c r="T9" s="80">
        <f t="shared" si="11"/>
        <v>1</v>
      </c>
      <c r="U9" s="1">
        <f t="shared" si="13"/>
        <v>1</v>
      </c>
      <c r="V9" s="1">
        <f t="shared" si="12"/>
        <v>1</v>
      </c>
      <c r="W9" s="80">
        <f t="shared" si="3"/>
        <v>1</v>
      </c>
      <c r="X9" s="80">
        <f t="shared" si="4"/>
        <v>1</v>
      </c>
      <c r="Y9" s="80">
        <f t="shared" si="5"/>
        <v>1</v>
      </c>
      <c r="AA9" s="79" t="s">
        <v>665</v>
      </c>
      <c r="AC9" s="1" t="s">
        <v>631</v>
      </c>
      <c r="AD9" s="1" t="s">
        <v>631</v>
      </c>
      <c r="AE9" s="1" t="s">
        <v>671</v>
      </c>
      <c r="AF9" s="1" t="s">
        <v>671</v>
      </c>
      <c r="AG9" s="80" t="s">
        <v>667</v>
      </c>
      <c r="AH9" t="s">
        <v>668</v>
      </c>
    </row>
    <row r="10" spans="1:34" x14ac:dyDescent="0.35">
      <c r="B10" t="s">
        <v>632</v>
      </c>
      <c r="C10" t="s">
        <v>673</v>
      </c>
      <c r="D10" s="1" t="s">
        <v>93</v>
      </c>
      <c r="E10" s="80">
        <f>E$2</f>
        <v>1.0000000000000001E-17</v>
      </c>
      <c r="F10" s="79">
        <f t="shared" si="6"/>
        <v>-17</v>
      </c>
      <c r="G10" s="79">
        <f t="shared" si="7"/>
        <v>-12.75</v>
      </c>
      <c r="H10" s="79">
        <f t="shared" si="8"/>
        <v>4.25</v>
      </c>
      <c r="I10" s="79">
        <f t="shared" si="9"/>
        <v>12.75</v>
      </c>
      <c r="J10" s="79">
        <f t="shared" si="0"/>
        <v>-4.2499999999999991</v>
      </c>
      <c r="K10" s="79">
        <f t="shared" si="1"/>
        <v>1.2536257065192714E-15</v>
      </c>
      <c r="L10" s="79">
        <f t="shared" si="2"/>
        <v>4.25</v>
      </c>
      <c r="N10" s="79">
        <v>0.75</v>
      </c>
      <c r="O10" s="79">
        <v>-0.25</v>
      </c>
      <c r="P10" s="79">
        <f t="shared" si="10"/>
        <v>-0.75</v>
      </c>
      <c r="Q10" s="79">
        <f>SLOPE(J10:J11,F10:F11)</f>
        <v>0.24999999999999994</v>
      </c>
      <c r="R10" s="79">
        <f>SLOPE(K10:K11,F10:F11)</f>
        <v>-7.3742688618780668E-17</v>
      </c>
      <c r="S10" s="79">
        <v>-1.25</v>
      </c>
      <c r="T10" s="80">
        <f t="shared" si="11"/>
        <v>1.7782794100389184E-13</v>
      </c>
      <c r="U10" s="1">
        <f t="shared" si="13"/>
        <v>17782.794100389234</v>
      </c>
      <c r="V10" s="1">
        <f t="shared" si="12"/>
        <v>5623413251903.5049</v>
      </c>
      <c r="W10" s="80">
        <f t="shared" si="3"/>
        <v>5.6234132519035056E-5</v>
      </c>
      <c r="X10" s="80">
        <f t="shared" si="4"/>
        <v>1.0000000000000029</v>
      </c>
      <c r="Y10" s="80">
        <f t="shared" si="5"/>
        <v>17782.794100389234</v>
      </c>
      <c r="AA10" s="79" t="s">
        <v>665</v>
      </c>
      <c r="AC10" s="1" t="s">
        <v>631</v>
      </c>
      <c r="AD10" s="1" t="s">
        <v>631</v>
      </c>
      <c r="AE10" s="1" t="s">
        <v>671</v>
      </c>
      <c r="AF10" s="1" t="s">
        <v>671</v>
      </c>
      <c r="AG10" s="80" t="s">
        <v>667</v>
      </c>
      <c r="AH10" t="s">
        <v>668</v>
      </c>
    </row>
    <row r="11" spans="1:34" x14ac:dyDescent="0.35">
      <c r="B11" t="s">
        <v>632</v>
      </c>
      <c r="C11" t="s">
        <v>673</v>
      </c>
      <c r="D11" s="1" t="s">
        <v>131</v>
      </c>
      <c r="E11" s="80">
        <f>E$9</f>
        <v>1</v>
      </c>
      <c r="F11" s="79">
        <f t="shared" si="6"/>
        <v>0</v>
      </c>
      <c r="G11" s="79">
        <f t="shared" si="7"/>
        <v>0</v>
      </c>
      <c r="H11" s="79">
        <f t="shared" si="8"/>
        <v>0</v>
      </c>
      <c r="I11" s="79">
        <f t="shared" si="9"/>
        <v>0</v>
      </c>
      <c r="J11" s="79">
        <f t="shared" si="0"/>
        <v>0</v>
      </c>
      <c r="K11" s="79">
        <f t="shared" si="1"/>
        <v>0</v>
      </c>
      <c r="L11" s="79">
        <f t="shared" si="2"/>
        <v>0</v>
      </c>
      <c r="N11" s="79">
        <v>0.75</v>
      </c>
      <c r="O11" s="79">
        <v>-0.25</v>
      </c>
      <c r="P11" s="79">
        <f t="shared" si="10"/>
        <v>-0.75</v>
      </c>
      <c r="Q11" s="79">
        <f>SLOPE(J10:J11,F10:F11)</f>
        <v>0.24999999999999994</v>
      </c>
      <c r="R11" s="79">
        <f>SLOPE(K10:K11,F10:F11)</f>
        <v>-7.3742688618780668E-17</v>
      </c>
      <c r="S11" s="79">
        <v>-1.25</v>
      </c>
      <c r="T11" s="80">
        <f t="shared" si="11"/>
        <v>1</v>
      </c>
      <c r="U11" s="1">
        <f t="shared" si="13"/>
        <v>1</v>
      </c>
      <c r="V11" s="1">
        <f t="shared" si="12"/>
        <v>1</v>
      </c>
      <c r="W11" s="80">
        <f t="shared" si="3"/>
        <v>1</v>
      </c>
      <c r="X11" s="80">
        <f t="shared" si="4"/>
        <v>1</v>
      </c>
      <c r="Y11" s="80">
        <f t="shared" si="5"/>
        <v>1</v>
      </c>
      <c r="AA11" s="79" t="s">
        <v>665</v>
      </c>
      <c r="AC11" s="1" t="s">
        <v>631</v>
      </c>
      <c r="AD11" s="1" t="s">
        <v>631</v>
      </c>
      <c r="AE11" s="1" t="s">
        <v>671</v>
      </c>
      <c r="AF11" s="1" t="s">
        <v>671</v>
      </c>
      <c r="AG11" s="80" t="s">
        <v>667</v>
      </c>
      <c r="AH11" t="s">
        <v>668</v>
      </c>
    </row>
    <row r="12" spans="1:34" x14ac:dyDescent="0.35">
      <c r="A12" t="s">
        <v>664</v>
      </c>
      <c r="B12" t="s">
        <v>674</v>
      </c>
      <c r="C12" t="s">
        <v>404</v>
      </c>
      <c r="D12" s="1" t="s">
        <v>93</v>
      </c>
      <c r="E12" s="80">
        <f>'9 fig. 1'!E$3</f>
        <v>1.0000000000000001E-17</v>
      </c>
      <c r="F12" s="79">
        <f>LOG(E12)</f>
        <v>-17</v>
      </c>
      <c r="G12" s="79">
        <f>N12*$F12</f>
        <v>-33.32</v>
      </c>
      <c r="H12" s="79">
        <f>O12*$F12</f>
        <v>-12.41</v>
      </c>
      <c r="I12" s="79">
        <f>P12*$F12</f>
        <v>33.32</v>
      </c>
      <c r="J12" s="79">
        <f t="shared" ref="J12:J21" si="14">LOG(W12)</f>
        <v>16.320000000000004</v>
      </c>
      <c r="K12" s="79">
        <f t="shared" ref="K12:K21" si="15">LOG(X12)</f>
        <v>3.9100000000000028</v>
      </c>
      <c r="L12" s="79">
        <f t="shared" ref="L12:L21" si="16">LOG(Y12)</f>
        <v>-12.41</v>
      </c>
      <c r="N12" s="79">
        <v>1.96</v>
      </c>
      <c r="O12" s="79">
        <v>0.73</v>
      </c>
      <c r="P12" s="79">
        <f>-N12</f>
        <v>-1.96</v>
      </c>
      <c r="Q12" s="79">
        <f>SLOPE(J12:J13,F12:F13)</f>
        <v>-0.96000000000000074</v>
      </c>
      <c r="R12" s="79">
        <f>SLOPE(K12:K13,F12:F13)</f>
        <v>-0.2300000000000004</v>
      </c>
      <c r="S12" s="79">
        <v>-0.5</v>
      </c>
      <c r="T12" s="80">
        <f>POWER(10,G12)</f>
        <v>4.7863009232263421E-34</v>
      </c>
      <c r="U12" s="1">
        <f>POWER(10,H12)</f>
        <v>3.8904514499427974E-13</v>
      </c>
      <c r="V12" s="1">
        <f>POWER(10,I12)</f>
        <v>2.0892961308540574E+33</v>
      </c>
      <c r="W12" s="80">
        <f t="shared" ref="W12:W21" si="17">V12*E12</f>
        <v>2.0892961308540576E+16</v>
      </c>
      <c r="X12" s="80">
        <f t="shared" ref="X12:X21" si="18">W12*U12</f>
        <v>8128.3051616410448</v>
      </c>
      <c r="Y12" s="80">
        <f t="shared" ref="Y12:Y21" si="19">X12/W12</f>
        <v>3.8904514499427974E-13</v>
      </c>
      <c r="AA12" s="79" t="s">
        <v>665</v>
      </c>
      <c r="AC12" s="1" t="s">
        <v>631</v>
      </c>
      <c r="AD12" s="1" t="s">
        <v>631</v>
      </c>
      <c r="AF12" s="80" t="s">
        <v>666</v>
      </c>
      <c r="AG12" s="80" t="s">
        <v>667</v>
      </c>
      <c r="AH12" t="s">
        <v>668</v>
      </c>
    </row>
    <row r="13" spans="1:34" x14ac:dyDescent="0.35">
      <c r="B13" t="s">
        <v>674</v>
      </c>
      <c r="C13" t="s">
        <v>404</v>
      </c>
      <c r="D13" s="1" t="s">
        <v>131</v>
      </c>
      <c r="E13" s="80">
        <f>'9 fig. 1'!E$6</f>
        <v>5.8849999999999997E-13</v>
      </c>
      <c r="F13" s="79">
        <f t="shared" ref="F13:F21" si="20">LOG(E13)</f>
        <v>-12.230253532820546</v>
      </c>
      <c r="G13" s="79">
        <f>N13*$F13</f>
        <v>-23.971296924328271</v>
      </c>
      <c r="H13" s="79">
        <f t="shared" ref="H13:H21" si="21">O13*$F13</f>
        <v>-8.9280850789589987</v>
      </c>
      <c r="I13" s="79">
        <f t="shared" ref="I13:I21" si="22">P13*$F13</f>
        <v>23.971296924328271</v>
      </c>
      <c r="J13" s="79">
        <f t="shared" si="14"/>
        <v>11.741043391507725</v>
      </c>
      <c r="K13" s="79">
        <f t="shared" si="15"/>
        <v>2.8129583125487265</v>
      </c>
      <c r="L13" s="79">
        <f t="shared" si="16"/>
        <v>-8.9280850789589987</v>
      </c>
      <c r="N13" s="79">
        <v>1.96</v>
      </c>
      <c r="O13" s="79">
        <v>0.73</v>
      </c>
      <c r="P13" s="79">
        <f t="shared" ref="P13:P15" si="23">-N13</f>
        <v>-1.96</v>
      </c>
      <c r="Q13" s="79">
        <f>SLOPE(J12:J13,F12:F13)</f>
        <v>-0.96000000000000074</v>
      </c>
      <c r="R13" s="79">
        <f>SLOPE(K12:K13,F12:F13)</f>
        <v>-0.2300000000000004</v>
      </c>
      <c r="S13" s="79">
        <v>-0.5</v>
      </c>
      <c r="T13" s="80">
        <f t="shared" ref="T13:T21" si="24">POWER(10,G13)</f>
        <v>1.0683242231172387E-24</v>
      </c>
      <c r="U13" s="1">
        <f t="shared" ref="U13:U21" si="25">POWER(10,H13)</f>
        <v>1.1800894316656499E-9</v>
      </c>
      <c r="V13" s="1">
        <f t="shared" ref="V13:V21" si="26">POWER(10,I13)</f>
        <v>9.3604542362815948E+23</v>
      </c>
      <c r="W13" s="80">
        <f t="shared" si="17"/>
        <v>550862731805.17188</v>
      </c>
      <c r="X13" s="80">
        <f t="shared" si="18"/>
        <v>650.06728810175264</v>
      </c>
      <c r="Y13" s="80">
        <f t="shared" si="19"/>
        <v>1.1800894316656499E-9</v>
      </c>
      <c r="AA13" s="79" t="s">
        <v>665</v>
      </c>
      <c r="AC13" s="1" t="s">
        <v>631</v>
      </c>
      <c r="AD13" s="1" t="s">
        <v>631</v>
      </c>
      <c r="AF13" s="80" t="s">
        <v>666</v>
      </c>
      <c r="AG13" s="80" t="s">
        <v>667</v>
      </c>
      <c r="AH13" t="s">
        <v>668</v>
      </c>
    </row>
    <row r="14" spans="1:34" x14ac:dyDescent="0.35">
      <c r="B14" t="s">
        <v>674</v>
      </c>
      <c r="C14" t="s">
        <v>669</v>
      </c>
      <c r="D14" s="1" t="s">
        <v>93</v>
      </c>
      <c r="E14" s="80">
        <f>'9 fig. 1'!E$7</f>
        <v>1.4398966328953216E-11</v>
      </c>
      <c r="F14" s="79">
        <f t="shared" si="20"/>
        <v>-10.841668683859247</v>
      </c>
      <c r="G14" s="79">
        <f t="shared" ref="G14:G21" si="27">N14*$F14</f>
        <v>-11.492168804890802</v>
      </c>
      <c r="H14" s="79">
        <f t="shared" si="21"/>
        <v>2.8188338578034045</v>
      </c>
      <c r="I14" s="79">
        <f t="shared" si="22"/>
        <v>11.492168804890802</v>
      </c>
      <c r="J14" s="79">
        <f t="shared" si="14"/>
        <v>0.65050012103155597</v>
      </c>
      <c r="K14" s="79">
        <f t="shared" si="15"/>
        <v>3.4693339788349609</v>
      </c>
      <c r="L14" s="79">
        <f t="shared" si="16"/>
        <v>2.8188338578034045</v>
      </c>
      <c r="N14" s="79">
        <v>1.06</v>
      </c>
      <c r="O14" s="79">
        <v>-0.26</v>
      </c>
      <c r="P14" s="79">
        <f t="shared" si="23"/>
        <v>-1.06</v>
      </c>
      <c r="Q14" s="79">
        <f>SLOPE(J14:J15,F14:F15)</f>
        <v>-5.999999999999988E-2</v>
      </c>
      <c r="R14" s="79">
        <f>SLOPE(K14:K15,F14:F15)</f>
        <v>-0.32000000000000006</v>
      </c>
      <c r="S14" s="79">
        <v>-1.58</v>
      </c>
      <c r="T14" s="80">
        <f t="shared" si="24"/>
        <v>3.2198170449892902E-12</v>
      </c>
      <c r="U14" s="1">
        <f t="shared" si="25"/>
        <v>658.92177218501024</v>
      </c>
      <c r="V14" s="1">
        <f t="shared" si="26"/>
        <v>310576652656.77423</v>
      </c>
      <c r="W14" s="80">
        <f t="shared" si="17"/>
        <v>4.471982764163891</v>
      </c>
      <c r="X14" s="80">
        <f t="shared" si="18"/>
        <v>2946.6868081436919</v>
      </c>
      <c r="Y14" s="80">
        <f t="shared" si="19"/>
        <v>658.92177218501024</v>
      </c>
      <c r="AA14" s="79" t="s">
        <v>665</v>
      </c>
      <c r="AC14" s="1" t="s">
        <v>631</v>
      </c>
      <c r="AD14" s="1" t="s">
        <v>631</v>
      </c>
      <c r="AF14" s="80" t="s">
        <v>666</v>
      </c>
      <c r="AG14" s="80" t="s">
        <v>667</v>
      </c>
      <c r="AH14" t="s">
        <v>668</v>
      </c>
    </row>
    <row r="15" spans="1:34" x14ac:dyDescent="0.35">
      <c r="B15" t="s">
        <v>674</v>
      </c>
      <c r="C15" t="s">
        <v>669</v>
      </c>
      <c r="D15" s="1" t="s">
        <v>131</v>
      </c>
      <c r="E15" s="80">
        <f>'9 fig. 1'!E$8</f>
        <v>2.5918139392115797E-6</v>
      </c>
      <c r="F15" s="79">
        <f t="shared" si="20"/>
        <v>-5.5863961787559413</v>
      </c>
      <c r="G15" s="79">
        <f t="shared" si="27"/>
        <v>-5.9215799494812984</v>
      </c>
      <c r="H15" s="79">
        <f t="shared" si="21"/>
        <v>1.4524630064765447</v>
      </c>
      <c r="I15" s="79">
        <f t="shared" si="22"/>
        <v>5.9215799494812984</v>
      </c>
      <c r="J15" s="79">
        <f t="shared" si="14"/>
        <v>0.33518377072535827</v>
      </c>
      <c r="K15" s="79">
        <f t="shared" si="15"/>
        <v>1.7876467772019031</v>
      </c>
      <c r="L15" s="79">
        <f t="shared" si="16"/>
        <v>1.4524630064765449</v>
      </c>
      <c r="N15" s="79">
        <v>1.06</v>
      </c>
      <c r="O15" s="79">
        <v>-0.26</v>
      </c>
      <c r="P15" s="79">
        <f t="shared" si="23"/>
        <v>-1.06</v>
      </c>
      <c r="Q15" s="79">
        <f>SLOPE(J14:J15,F14:F15)</f>
        <v>-5.999999999999988E-2</v>
      </c>
      <c r="R15" s="79">
        <f>SLOPE(K14:K15,F14:F15)</f>
        <v>-0.32000000000000006</v>
      </c>
      <c r="S15" s="79">
        <v>-1.58</v>
      </c>
      <c r="T15" s="80">
        <f t="shared" si="24"/>
        <v>1.1978985811614244E-6</v>
      </c>
      <c r="U15" s="1">
        <f t="shared" si="25"/>
        <v>28.344121858913553</v>
      </c>
      <c r="V15" s="1">
        <f t="shared" si="26"/>
        <v>834795.21198735246</v>
      </c>
      <c r="W15" s="80">
        <f t="shared" si="17"/>
        <v>2.1636338668159056</v>
      </c>
      <c r="X15" s="80">
        <f t="shared" si="18"/>
        <v>61.326301979102368</v>
      </c>
      <c r="Y15" s="80">
        <f t="shared" si="19"/>
        <v>28.344121858913553</v>
      </c>
      <c r="AA15" s="79" t="s">
        <v>665</v>
      </c>
      <c r="AC15" s="1" t="s">
        <v>631</v>
      </c>
      <c r="AD15" s="1" t="s">
        <v>631</v>
      </c>
      <c r="AF15" s="80" t="s">
        <v>666</v>
      </c>
      <c r="AG15" s="80" t="s">
        <v>667</v>
      </c>
      <c r="AH15" t="s">
        <v>668</v>
      </c>
    </row>
    <row r="16" spans="1:34" x14ac:dyDescent="0.35">
      <c r="B16" t="s">
        <v>674</v>
      </c>
      <c r="C16" t="s">
        <v>670</v>
      </c>
      <c r="D16" s="1" t="s">
        <v>93</v>
      </c>
      <c r="E16" s="80">
        <f>'9 fig. 1'!E$9</f>
        <v>1.0000000000000001E-9</v>
      </c>
      <c r="F16" s="79">
        <f t="shared" si="20"/>
        <v>-9</v>
      </c>
      <c r="G16" s="79">
        <f t="shared" si="27"/>
        <v>-7.11</v>
      </c>
      <c r="H16" s="79">
        <f t="shared" si="21"/>
        <v>2.0700000000000003</v>
      </c>
      <c r="I16" s="79">
        <f t="shared" si="22"/>
        <v>7.11</v>
      </c>
      <c r="J16" s="79">
        <f t="shared" si="14"/>
        <v>-1.8899999999999986</v>
      </c>
      <c r="K16" s="79">
        <f t="shared" si="15"/>
        <v>0.18000000000000205</v>
      </c>
      <c r="L16" s="79">
        <f t="shared" si="16"/>
        <v>2.0700000000000007</v>
      </c>
      <c r="N16" s="79">
        <v>0.79</v>
      </c>
      <c r="O16" s="79">
        <v>-0.23</v>
      </c>
      <c r="P16" s="79">
        <f>-N16</f>
        <v>-0.79</v>
      </c>
      <c r="Q16" s="79">
        <f>SLOPE(J16:J17,F16:F17)</f>
        <v>0.2099999999999998</v>
      </c>
      <c r="R16" s="79">
        <f>SLOPE(K16:K17,F16:F17)</f>
        <v>-2.0000000000000275E-2</v>
      </c>
      <c r="S16" s="79">
        <v>-1.25</v>
      </c>
      <c r="T16" s="80">
        <f t="shared" si="24"/>
        <v>7.7624711662868932E-8</v>
      </c>
      <c r="U16" s="1">
        <f t="shared" si="25"/>
        <v>117.48975549395314</v>
      </c>
      <c r="V16" s="1">
        <f t="shared" si="26"/>
        <v>12882495.516931379</v>
      </c>
      <c r="W16" s="80">
        <f t="shared" si="17"/>
        <v>1.288249551693138E-2</v>
      </c>
      <c r="X16" s="80">
        <f t="shared" si="18"/>
        <v>1.5135612484362153</v>
      </c>
      <c r="Y16" s="80">
        <f t="shared" si="19"/>
        <v>117.48975549395314</v>
      </c>
      <c r="AA16" s="79" t="s">
        <v>665</v>
      </c>
      <c r="AC16" s="1" t="s">
        <v>631</v>
      </c>
      <c r="AD16" s="1" t="s">
        <v>631</v>
      </c>
      <c r="AE16" s="1" t="s">
        <v>671</v>
      </c>
      <c r="AF16" s="1" t="s">
        <v>671</v>
      </c>
      <c r="AG16" s="80" t="s">
        <v>667</v>
      </c>
      <c r="AH16" t="s">
        <v>668</v>
      </c>
    </row>
    <row r="17" spans="2:34" x14ac:dyDescent="0.35">
      <c r="B17" t="s">
        <v>674</v>
      </c>
      <c r="C17" t="s">
        <v>670</v>
      </c>
      <c r="D17" s="1" t="s">
        <v>131</v>
      </c>
      <c r="E17" s="80">
        <f>'9 fig. 1'!E$10</f>
        <v>1.0000000000000001E-5</v>
      </c>
      <c r="F17" s="79">
        <f t="shared" si="20"/>
        <v>-5</v>
      </c>
      <c r="G17" s="79">
        <f t="shared" si="27"/>
        <v>-3.95</v>
      </c>
      <c r="H17" s="79">
        <f t="shared" si="21"/>
        <v>1.1500000000000001</v>
      </c>
      <c r="I17" s="79">
        <f t="shared" si="22"/>
        <v>3.95</v>
      </c>
      <c r="J17" s="79">
        <f t="shared" si="14"/>
        <v>-1.0499999999999994</v>
      </c>
      <c r="K17" s="79">
        <f t="shared" si="15"/>
        <v>0.10000000000000095</v>
      </c>
      <c r="L17" s="79">
        <f t="shared" si="16"/>
        <v>1.1500000000000004</v>
      </c>
      <c r="N17" s="79">
        <v>0.79</v>
      </c>
      <c r="O17" s="79">
        <v>-0.23</v>
      </c>
      <c r="P17" s="79">
        <f t="shared" ref="P17:P21" si="28">-N17</f>
        <v>-0.79</v>
      </c>
      <c r="Q17" s="79">
        <f>SLOPE(J16:J17,F16:F17)</f>
        <v>0.2099999999999998</v>
      </c>
      <c r="R17" s="79">
        <f>SLOPE(K16:K17,F16:F17)</f>
        <v>-2.0000000000000275E-2</v>
      </c>
      <c r="S17" s="79">
        <v>-1.25</v>
      </c>
      <c r="T17" s="80">
        <f t="shared" si="24"/>
        <v>1.1220184543019618E-4</v>
      </c>
      <c r="U17" s="1">
        <f t="shared" si="25"/>
        <v>14.125375446227551</v>
      </c>
      <c r="V17" s="1">
        <f t="shared" si="26"/>
        <v>8912.5093813374679</v>
      </c>
      <c r="W17" s="80">
        <f t="shared" si="17"/>
        <v>8.9125093813374689E-2</v>
      </c>
      <c r="X17" s="80">
        <f t="shared" si="18"/>
        <v>1.2589254117941699</v>
      </c>
      <c r="Y17" s="80">
        <f t="shared" si="19"/>
        <v>14.125375446227553</v>
      </c>
      <c r="AA17" s="79" t="s">
        <v>665</v>
      </c>
      <c r="AC17" s="1" t="s">
        <v>631</v>
      </c>
      <c r="AD17" s="1" t="s">
        <v>631</v>
      </c>
      <c r="AE17" s="1" t="s">
        <v>671</v>
      </c>
      <c r="AF17" s="1" t="s">
        <v>671</v>
      </c>
      <c r="AG17" s="80" t="s">
        <v>667</v>
      </c>
      <c r="AH17" t="s">
        <v>668</v>
      </c>
    </row>
    <row r="18" spans="2:34" x14ac:dyDescent="0.35">
      <c r="B18" t="s">
        <v>674</v>
      </c>
      <c r="C18" t="s">
        <v>672</v>
      </c>
      <c r="D18" s="1" t="s">
        <v>93</v>
      </c>
      <c r="E18" s="80">
        <f>'9 fig. 1'!E$11</f>
        <v>1.4999999999999999E-7</v>
      </c>
      <c r="F18" s="79">
        <f t="shared" si="20"/>
        <v>-6.8239087409443187</v>
      </c>
      <c r="G18" s="79">
        <f t="shared" si="27"/>
        <v>-5.3908879053460117</v>
      </c>
      <c r="H18" s="79">
        <f t="shared" si="21"/>
        <v>1.5694990104171933</v>
      </c>
      <c r="I18" s="79">
        <f t="shared" si="22"/>
        <v>5.3908879053460117</v>
      </c>
      <c r="J18" s="79">
        <f t="shared" si="14"/>
        <v>-1.4330208355983067</v>
      </c>
      <c r="K18" s="79">
        <f t="shared" si="15"/>
        <v>0.1364781748188868</v>
      </c>
      <c r="L18" s="79">
        <f t="shared" si="16"/>
        <v>1.5694990104171935</v>
      </c>
      <c r="N18" s="79">
        <v>0.79</v>
      </c>
      <c r="O18" s="79">
        <v>-0.23</v>
      </c>
      <c r="P18" s="79">
        <f t="shared" si="28"/>
        <v>-0.79</v>
      </c>
      <c r="Q18" s="79">
        <f>SLOPE(J18:J19,F18:F19)</f>
        <v>0.20999999999999996</v>
      </c>
      <c r="R18" s="79">
        <f>SLOPE(K18:K19,F18:F19)</f>
        <v>-2.0000000000000059E-2</v>
      </c>
      <c r="S18" s="79">
        <v>-1.25</v>
      </c>
      <c r="T18" s="80">
        <f t="shared" si="24"/>
        <v>4.0654824876805715E-6</v>
      </c>
      <c r="U18" s="1">
        <f t="shared" si="25"/>
        <v>37.110688388832955</v>
      </c>
      <c r="V18" s="1">
        <f t="shared" si="26"/>
        <v>245973.26468143697</v>
      </c>
      <c r="W18" s="80">
        <f t="shared" si="17"/>
        <v>3.689598970221554E-2</v>
      </c>
      <c r="X18" s="80">
        <f t="shared" si="18"/>
        <v>1.3692355766365105</v>
      </c>
      <c r="Y18" s="80">
        <f t="shared" si="19"/>
        <v>37.110688388832955</v>
      </c>
      <c r="AA18" s="79" t="s">
        <v>665</v>
      </c>
      <c r="AC18" s="1" t="s">
        <v>631</v>
      </c>
      <c r="AD18" s="1" t="s">
        <v>631</v>
      </c>
      <c r="AE18" s="1" t="s">
        <v>671</v>
      </c>
      <c r="AF18" s="1" t="s">
        <v>671</v>
      </c>
      <c r="AG18" s="80" t="s">
        <v>667</v>
      </c>
      <c r="AH18" t="s">
        <v>668</v>
      </c>
    </row>
    <row r="19" spans="2:34" x14ac:dyDescent="0.35">
      <c r="B19" t="s">
        <v>674</v>
      </c>
      <c r="C19" t="s">
        <v>672</v>
      </c>
      <c r="D19" s="1" t="s">
        <v>131</v>
      </c>
      <c r="E19" s="80">
        <f>'9 fig. 1'!E$12</f>
        <v>1</v>
      </c>
      <c r="F19" s="79">
        <f t="shared" si="20"/>
        <v>0</v>
      </c>
      <c r="G19" s="79">
        <f t="shared" si="27"/>
        <v>0</v>
      </c>
      <c r="H19" s="79">
        <f t="shared" si="21"/>
        <v>0</v>
      </c>
      <c r="I19" s="79">
        <f t="shared" si="22"/>
        <v>0</v>
      </c>
      <c r="J19" s="79">
        <f t="shared" si="14"/>
        <v>0</v>
      </c>
      <c r="K19" s="79">
        <f t="shared" si="15"/>
        <v>0</v>
      </c>
      <c r="L19" s="79">
        <f t="shared" si="16"/>
        <v>0</v>
      </c>
      <c r="N19" s="79">
        <v>0.79</v>
      </c>
      <c r="O19" s="79">
        <v>-0.23</v>
      </c>
      <c r="P19" s="79">
        <f t="shared" si="28"/>
        <v>-0.79</v>
      </c>
      <c r="Q19" s="79">
        <f>SLOPE(J18:J19,F18:F19)</f>
        <v>0.20999999999999996</v>
      </c>
      <c r="R19" s="79">
        <f>SLOPE(K18:K19,F18:F19)</f>
        <v>-2.0000000000000059E-2</v>
      </c>
      <c r="S19" s="79">
        <v>-1.25</v>
      </c>
      <c r="T19" s="80">
        <f t="shared" si="24"/>
        <v>1</v>
      </c>
      <c r="U19" s="1">
        <f t="shared" si="25"/>
        <v>1</v>
      </c>
      <c r="V19" s="1">
        <f t="shared" si="26"/>
        <v>1</v>
      </c>
      <c r="W19" s="80">
        <f t="shared" si="17"/>
        <v>1</v>
      </c>
      <c r="X19" s="80">
        <f t="shared" si="18"/>
        <v>1</v>
      </c>
      <c r="Y19" s="80">
        <f t="shared" si="19"/>
        <v>1</v>
      </c>
      <c r="AA19" s="79" t="s">
        <v>665</v>
      </c>
      <c r="AC19" s="1" t="s">
        <v>631</v>
      </c>
      <c r="AD19" s="1" t="s">
        <v>631</v>
      </c>
      <c r="AE19" s="1" t="s">
        <v>671</v>
      </c>
      <c r="AF19" s="1" t="s">
        <v>671</v>
      </c>
      <c r="AG19" s="80" t="s">
        <v>667</v>
      </c>
      <c r="AH19" t="s">
        <v>668</v>
      </c>
    </row>
    <row r="20" spans="2:34" x14ac:dyDescent="0.35">
      <c r="B20" t="s">
        <v>674</v>
      </c>
      <c r="C20" t="s">
        <v>673</v>
      </c>
      <c r="D20" s="1" t="s">
        <v>93</v>
      </c>
      <c r="E20" s="80">
        <f>E$2</f>
        <v>1.0000000000000001E-17</v>
      </c>
      <c r="F20" s="79">
        <f t="shared" si="20"/>
        <v>-17</v>
      </c>
      <c r="G20" s="79">
        <f t="shared" si="27"/>
        <v>-13.43</v>
      </c>
      <c r="H20" s="79">
        <f t="shared" si="21"/>
        <v>3.91</v>
      </c>
      <c r="I20" s="79">
        <f t="shared" si="22"/>
        <v>13.43</v>
      </c>
      <c r="J20" s="79">
        <f t="shared" si="14"/>
        <v>-3.5699999999999985</v>
      </c>
      <c r="K20" s="79">
        <f t="shared" si="15"/>
        <v>0.34000000000000213</v>
      </c>
      <c r="L20" s="79">
        <f t="shared" si="16"/>
        <v>3.9100000000000006</v>
      </c>
      <c r="N20" s="79">
        <v>0.79</v>
      </c>
      <c r="O20" s="79">
        <v>-0.23</v>
      </c>
      <c r="P20" s="79">
        <f t="shared" si="28"/>
        <v>-0.79</v>
      </c>
      <c r="Q20" s="79">
        <f>SLOPE(J20:J21,F20:F21)</f>
        <v>0.20999999999999991</v>
      </c>
      <c r="R20" s="79">
        <f>SLOPE(K20:K21,F20:F21)</f>
        <v>-2.0000000000000125E-2</v>
      </c>
      <c r="S20" s="79">
        <v>-1.25</v>
      </c>
      <c r="T20" s="80">
        <f t="shared" si="24"/>
        <v>3.7153522909717136E-14</v>
      </c>
      <c r="U20" s="1">
        <f t="shared" si="25"/>
        <v>8128.3051616410066</v>
      </c>
      <c r="V20" s="1">
        <f t="shared" si="26"/>
        <v>26915348039269.242</v>
      </c>
      <c r="W20" s="80">
        <f t="shared" si="17"/>
        <v>2.6915348039269243E-4</v>
      </c>
      <c r="X20" s="80">
        <f t="shared" si="18"/>
        <v>2.1877616239495632</v>
      </c>
      <c r="Y20" s="80">
        <f t="shared" si="19"/>
        <v>8128.3051616410066</v>
      </c>
      <c r="AA20" s="79" t="s">
        <v>665</v>
      </c>
      <c r="AC20" s="1" t="s">
        <v>631</v>
      </c>
      <c r="AD20" s="1" t="s">
        <v>631</v>
      </c>
      <c r="AE20" s="1" t="s">
        <v>671</v>
      </c>
      <c r="AF20" s="1" t="s">
        <v>671</v>
      </c>
      <c r="AG20" s="80" t="s">
        <v>667</v>
      </c>
      <c r="AH20" t="s">
        <v>668</v>
      </c>
    </row>
    <row r="21" spans="2:34" x14ac:dyDescent="0.35">
      <c r="B21" t="s">
        <v>674</v>
      </c>
      <c r="C21" t="s">
        <v>673</v>
      </c>
      <c r="D21" s="1" t="s">
        <v>131</v>
      </c>
      <c r="E21" s="80">
        <f>E$9</f>
        <v>1</v>
      </c>
      <c r="F21" s="79">
        <f t="shared" si="20"/>
        <v>0</v>
      </c>
      <c r="G21" s="79">
        <f t="shared" si="27"/>
        <v>0</v>
      </c>
      <c r="H21" s="79">
        <f t="shared" si="21"/>
        <v>0</v>
      </c>
      <c r="I21" s="79">
        <f t="shared" si="22"/>
        <v>0</v>
      </c>
      <c r="J21" s="79">
        <f t="shared" si="14"/>
        <v>0</v>
      </c>
      <c r="K21" s="79">
        <f t="shared" si="15"/>
        <v>0</v>
      </c>
      <c r="L21" s="79">
        <f t="shared" si="16"/>
        <v>0</v>
      </c>
      <c r="N21" s="79">
        <v>0.79</v>
      </c>
      <c r="O21" s="79">
        <v>-0.23</v>
      </c>
      <c r="P21" s="79">
        <f t="shared" si="28"/>
        <v>-0.79</v>
      </c>
      <c r="Q21" s="79">
        <f>SLOPE(J20:J21,F20:F21)</f>
        <v>0.20999999999999991</v>
      </c>
      <c r="R21" s="79">
        <f>SLOPE(K20:K21,F20:F21)</f>
        <v>-2.0000000000000125E-2</v>
      </c>
      <c r="S21" s="79">
        <v>-1.25</v>
      </c>
      <c r="T21" s="80">
        <f t="shared" si="24"/>
        <v>1</v>
      </c>
      <c r="U21" s="1">
        <f t="shared" si="25"/>
        <v>1</v>
      </c>
      <c r="V21" s="1">
        <f t="shared" si="26"/>
        <v>1</v>
      </c>
      <c r="W21" s="80">
        <f t="shared" si="17"/>
        <v>1</v>
      </c>
      <c r="X21" s="80">
        <f t="shared" si="18"/>
        <v>1</v>
      </c>
      <c r="Y21" s="80">
        <f t="shared" si="19"/>
        <v>1</v>
      </c>
      <c r="AA21" s="79" t="s">
        <v>665</v>
      </c>
      <c r="AC21" s="1" t="s">
        <v>631</v>
      </c>
      <c r="AD21" s="1" t="s">
        <v>631</v>
      </c>
      <c r="AE21" s="1" t="s">
        <v>671</v>
      </c>
      <c r="AF21" s="1" t="s">
        <v>671</v>
      </c>
      <c r="AG21" s="80" t="s">
        <v>667</v>
      </c>
      <c r="AH21" t="s">
        <v>668</v>
      </c>
    </row>
    <row r="22" spans="2:34" x14ac:dyDescent="0.35">
      <c r="AA22" s="79"/>
    </row>
    <row r="23" spans="2:34" x14ac:dyDescent="0.35">
      <c r="AA23" s="79"/>
    </row>
    <row r="24" spans="2:34" x14ac:dyDescent="0.35">
      <c r="AA24" s="79"/>
    </row>
    <row r="25" spans="2:34" x14ac:dyDescent="0.35">
      <c r="AA25" s="79"/>
    </row>
    <row r="26" spans="2:34" x14ac:dyDescent="0.35">
      <c r="AA26" s="79"/>
    </row>
    <row r="30" spans="2:34" x14ac:dyDescent="0.35">
      <c r="N30" s="95" t="s">
        <v>632</v>
      </c>
      <c r="O30" s="79" t="s">
        <v>675</v>
      </c>
      <c r="P30" s="79"/>
      <c r="Q30" s="79"/>
      <c r="S30" s="79" t="s">
        <v>631</v>
      </c>
      <c r="T30" s="79" t="s">
        <v>675</v>
      </c>
      <c r="U30" s="79"/>
      <c r="V30" s="79"/>
    </row>
    <row r="31" spans="2:34" x14ac:dyDescent="0.35">
      <c r="O31" s="79" t="s">
        <v>404</v>
      </c>
      <c r="P31" s="79" t="s">
        <v>133</v>
      </c>
      <c r="Q31" s="79" t="s">
        <v>174</v>
      </c>
      <c r="R31" s="79"/>
      <c r="T31" s="79" t="s">
        <v>404</v>
      </c>
      <c r="U31" s="79" t="s">
        <v>133</v>
      </c>
      <c r="V31" s="79" t="s">
        <v>174</v>
      </c>
    </row>
    <row r="32" spans="2:34" x14ac:dyDescent="0.35">
      <c r="N32" s="79" t="s">
        <v>650</v>
      </c>
      <c r="O32" s="79">
        <f>N2</f>
        <v>2</v>
      </c>
      <c r="P32" s="79">
        <f>N4</f>
        <v>1</v>
      </c>
      <c r="Q32" s="79">
        <f>N6</f>
        <v>0.75</v>
      </c>
      <c r="R32" s="79"/>
      <c r="S32" s="79" t="s">
        <v>650</v>
      </c>
      <c r="T32" s="79">
        <f>N12</f>
        <v>1.96</v>
      </c>
      <c r="U32" s="79">
        <f>N14</f>
        <v>1.06</v>
      </c>
      <c r="V32" s="79">
        <f>N16</f>
        <v>0.79</v>
      </c>
    </row>
    <row r="33" spans="14:22" x14ac:dyDescent="0.35">
      <c r="N33" s="79" t="s">
        <v>651</v>
      </c>
      <c r="O33" s="79">
        <f>O2</f>
        <v>0.75</v>
      </c>
      <c r="P33" s="79">
        <f>O4</f>
        <v>-0.25</v>
      </c>
      <c r="Q33" s="79">
        <f>O6</f>
        <v>-0.25</v>
      </c>
      <c r="R33" s="79"/>
      <c r="S33" s="79" t="s">
        <v>651</v>
      </c>
      <c r="T33" s="79">
        <f>O12</f>
        <v>0.73</v>
      </c>
      <c r="U33" s="79">
        <f>O14</f>
        <v>-0.26</v>
      </c>
      <c r="V33" s="79">
        <f>O16</f>
        <v>-0.23</v>
      </c>
    </row>
    <row r="34" spans="14:22" x14ac:dyDescent="0.35">
      <c r="N34" s="79" t="s">
        <v>676</v>
      </c>
      <c r="O34" s="79">
        <f>P2</f>
        <v>-2</v>
      </c>
      <c r="P34" s="79">
        <f>P4</f>
        <v>-1</v>
      </c>
      <c r="Q34" s="79">
        <f>P6</f>
        <v>-0.75</v>
      </c>
      <c r="R34" s="79"/>
      <c r="S34" s="79" t="s">
        <v>676</v>
      </c>
      <c r="T34" s="79">
        <f>P12</f>
        <v>-1.96</v>
      </c>
      <c r="U34" s="79">
        <f>P14</f>
        <v>-1.06</v>
      </c>
      <c r="V34" s="79">
        <f>P16</f>
        <v>-0.79</v>
      </c>
    </row>
    <row r="35" spans="14:22" x14ac:dyDescent="0.35">
      <c r="N35" s="79" t="s">
        <v>677</v>
      </c>
      <c r="O35" s="79">
        <f>Q2</f>
        <v>-0.99999999999999956</v>
      </c>
      <c r="P35" s="79">
        <f>Q4</f>
        <v>3.6699427693496119E-17</v>
      </c>
      <c r="Q35" s="79">
        <f>Q6</f>
        <v>0.25000000000000006</v>
      </c>
      <c r="R35" s="79"/>
      <c r="S35" s="79" t="s">
        <v>677</v>
      </c>
      <c r="T35" s="79">
        <f>Q12</f>
        <v>-0.96000000000000074</v>
      </c>
      <c r="U35" s="79">
        <f>Q14</f>
        <v>-5.999999999999988E-2</v>
      </c>
      <c r="V35" s="79">
        <f>Q16</f>
        <v>0.2099999999999998</v>
      </c>
    </row>
    <row r="36" spans="14:22" x14ac:dyDescent="0.35">
      <c r="N36" s="79" t="s">
        <v>654</v>
      </c>
      <c r="O36" s="79">
        <f>R2</f>
        <v>-0.24999999999999964</v>
      </c>
      <c r="P36" s="79">
        <f>R4</f>
        <v>-0.25</v>
      </c>
      <c r="Q36" s="79">
        <f>R6</f>
        <v>0</v>
      </c>
      <c r="R36" s="79"/>
      <c r="S36" s="79" t="s">
        <v>654</v>
      </c>
      <c r="T36" s="79">
        <f>R12</f>
        <v>-0.2300000000000004</v>
      </c>
      <c r="U36" s="79">
        <f>R15</f>
        <v>-0.32000000000000006</v>
      </c>
      <c r="V36" s="79">
        <f>R16</f>
        <v>-2.0000000000000275E-2</v>
      </c>
    </row>
  </sheetData>
  <phoneticPr fontId="7"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396A7-5F46-4DCB-9DDC-9E2441CD9C77}">
  <dimension ref="A1:AD15"/>
  <sheetViews>
    <sheetView workbookViewId="0">
      <selection activeCell="I19" sqref="I19"/>
    </sheetView>
  </sheetViews>
  <sheetFormatPr defaultRowHeight="14.5" x14ac:dyDescent="0.35"/>
  <sheetData>
    <row r="1" spans="1:30" s="33" customFormat="1" ht="48" x14ac:dyDescent="0.35">
      <c r="A1" s="33" t="s">
        <v>19</v>
      </c>
      <c r="B1" s="35" t="s">
        <v>20</v>
      </c>
      <c r="C1" s="2" t="s">
        <v>678</v>
      </c>
      <c r="D1" s="2" t="s">
        <v>679</v>
      </c>
      <c r="E1" s="2" t="s">
        <v>680</v>
      </c>
      <c r="F1" s="2" t="s">
        <v>681</v>
      </c>
      <c r="G1" s="29" t="s">
        <v>21</v>
      </c>
      <c r="H1" s="29" t="s">
        <v>22</v>
      </c>
      <c r="I1" s="29" t="s">
        <v>23</v>
      </c>
      <c r="J1" s="29" t="s">
        <v>24</v>
      </c>
      <c r="K1" s="54" t="s">
        <v>25</v>
      </c>
      <c r="L1" s="30" t="s">
        <v>26</v>
      </c>
      <c r="M1" s="30" t="s">
        <v>27</v>
      </c>
      <c r="N1" s="30" t="s">
        <v>28</v>
      </c>
      <c r="O1" s="30" t="s">
        <v>29</v>
      </c>
      <c r="P1" s="48" t="s">
        <v>30</v>
      </c>
      <c r="Q1" s="31" t="s">
        <v>31</v>
      </c>
      <c r="R1" s="31" t="s">
        <v>32</v>
      </c>
      <c r="S1" s="31" t="s">
        <v>33</v>
      </c>
      <c r="T1" s="31" t="s">
        <v>34</v>
      </c>
      <c r="U1" s="31" t="s">
        <v>35</v>
      </c>
      <c r="V1" s="31" t="s">
        <v>36</v>
      </c>
      <c r="W1" s="53" t="s">
        <v>37</v>
      </c>
      <c r="X1" s="53" t="s">
        <v>38</v>
      </c>
      <c r="Y1" s="29" t="s">
        <v>39</v>
      </c>
      <c r="Z1" s="32" t="s">
        <v>40</v>
      </c>
      <c r="AA1" s="32" t="s">
        <v>41</v>
      </c>
      <c r="AB1" s="32" t="s">
        <v>42</v>
      </c>
      <c r="AC1" s="32" t="s">
        <v>43</v>
      </c>
    </row>
    <row r="2" spans="1:30" x14ac:dyDescent="0.35">
      <c r="B2" s="36"/>
      <c r="C2" s="3"/>
      <c r="D2" s="3"/>
      <c r="E2" s="3"/>
      <c r="F2" s="3"/>
      <c r="G2" s="3">
        <v>0</v>
      </c>
      <c r="H2" s="3">
        <v>0</v>
      </c>
      <c r="I2" s="3" t="s">
        <v>161</v>
      </c>
      <c r="J2" s="3" t="s">
        <v>682</v>
      </c>
      <c r="K2" s="52">
        <f t="shared" ref="K2:K8" si="0">Z2*1000000</f>
        <v>106.89800000000001</v>
      </c>
      <c r="L2" s="7"/>
      <c r="M2" s="7"/>
      <c r="N2" s="7"/>
      <c r="O2" s="7"/>
      <c r="P2" s="49"/>
      <c r="Q2" s="4"/>
      <c r="R2" s="4"/>
      <c r="S2" s="4"/>
      <c r="T2" s="4"/>
      <c r="U2" s="4"/>
      <c r="V2" s="3"/>
      <c r="W2" s="51">
        <f t="shared" ref="W2:W8" si="1">K2*POWER(10,-6)</f>
        <v>1.0689800000000001E-4</v>
      </c>
      <c r="X2" s="51"/>
      <c r="Y2" s="3" t="s">
        <v>683</v>
      </c>
      <c r="Z2" s="3">
        <v>1.0689800000000001E-4</v>
      </c>
      <c r="AA2" s="3"/>
      <c r="AB2" s="3" t="s">
        <v>684</v>
      </c>
      <c r="AC2" s="1"/>
      <c r="AD2" s="3" t="s">
        <v>685</v>
      </c>
    </row>
    <row r="3" spans="1:30" x14ac:dyDescent="0.35">
      <c r="B3" s="36"/>
      <c r="C3" s="3"/>
      <c r="D3" s="3"/>
      <c r="E3" s="3"/>
      <c r="F3" s="3"/>
      <c r="G3" s="3">
        <v>0</v>
      </c>
      <c r="H3" s="3">
        <v>0</v>
      </c>
      <c r="I3" s="3" t="s">
        <v>147</v>
      </c>
      <c r="J3" s="3" t="s">
        <v>686</v>
      </c>
      <c r="K3" s="52">
        <f t="shared" si="0"/>
        <v>150</v>
      </c>
      <c r="L3" s="7"/>
      <c r="M3" s="7"/>
      <c r="N3" s="7"/>
      <c r="O3" s="7"/>
      <c r="P3" s="49"/>
      <c r="Q3" s="4"/>
      <c r="R3" s="4"/>
      <c r="S3" s="4"/>
      <c r="T3" s="4"/>
      <c r="U3" s="4"/>
      <c r="V3" s="3"/>
      <c r="W3" s="51">
        <f t="shared" si="1"/>
        <v>1.4999999999999999E-4</v>
      </c>
      <c r="X3" s="51"/>
      <c r="Y3" s="3" t="s">
        <v>683</v>
      </c>
      <c r="Z3" s="3">
        <v>1.4999999999999999E-4</v>
      </c>
      <c r="AA3" s="3"/>
      <c r="AB3" s="3" t="s">
        <v>684</v>
      </c>
      <c r="AC3" s="1"/>
      <c r="AD3" s="3" t="s">
        <v>685</v>
      </c>
    </row>
    <row r="4" spans="1:30" x14ac:dyDescent="0.35">
      <c r="B4" s="36"/>
      <c r="C4" s="3"/>
      <c r="D4" s="3"/>
      <c r="E4" s="3"/>
      <c r="F4" s="3"/>
      <c r="G4" s="3">
        <v>0</v>
      </c>
      <c r="H4" s="3">
        <v>0</v>
      </c>
      <c r="I4" s="4" t="s">
        <v>174</v>
      </c>
      <c r="J4" s="3" t="s">
        <v>687</v>
      </c>
      <c r="K4" s="52">
        <f t="shared" si="0"/>
        <v>830</v>
      </c>
      <c r="L4" s="7"/>
      <c r="M4" s="7"/>
      <c r="N4" s="7"/>
      <c r="O4" s="7"/>
      <c r="P4" s="49"/>
      <c r="Q4" s="4"/>
      <c r="R4" s="4"/>
      <c r="S4" s="4"/>
      <c r="T4" s="4"/>
      <c r="U4" s="4"/>
      <c r="V4" s="3"/>
      <c r="W4" s="51">
        <f t="shared" si="1"/>
        <v>8.3000000000000001E-4</v>
      </c>
      <c r="X4" s="51"/>
      <c r="Y4" s="3" t="s">
        <v>683</v>
      </c>
      <c r="Z4" s="3">
        <f>0.00083</f>
        <v>8.3000000000000001E-4</v>
      </c>
      <c r="AA4" s="3"/>
      <c r="AB4" s="3" t="s">
        <v>684</v>
      </c>
      <c r="AC4" s="1"/>
      <c r="AD4" s="3" t="s">
        <v>685</v>
      </c>
    </row>
    <row r="5" spans="1:30" x14ac:dyDescent="0.35">
      <c r="B5" s="36"/>
      <c r="C5" s="3"/>
      <c r="D5" s="3"/>
      <c r="E5" s="3"/>
      <c r="F5" s="3"/>
      <c r="G5" s="3">
        <v>0</v>
      </c>
      <c r="H5" s="3">
        <v>0</v>
      </c>
      <c r="I5" s="4" t="s">
        <v>174</v>
      </c>
      <c r="J5" s="3" t="s">
        <v>688</v>
      </c>
      <c r="K5" s="52">
        <f t="shared" si="0"/>
        <v>1450</v>
      </c>
      <c r="L5" s="7"/>
      <c r="M5" s="7"/>
      <c r="N5" s="7"/>
      <c r="O5" s="7"/>
      <c r="P5" s="49"/>
      <c r="Q5" s="4"/>
      <c r="R5" s="4"/>
      <c r="S5" s="4"/>
      <c r="T5" s="4"/>
      <c r="U5" s="4"/>
      <c r="V5" s="3"/>
      <c r="W5" s="51">
        <f t="shared" si="1"/>
        <v>1.4499999999999999E-3</v>
      </c>
      <c r="X5" s="51"/>
      <c r="Y5" s="3" t="s">
        <v>683</v>
      </c>
      <c r="Z5" s="3">
        <f>0.00145</f>
        <v>1.4499999999999999E-3</v>
      </c>
      <c r="AA5" s="3"/>
      <c r="AB5" s="3" t="s">
        <v>684</v>
      </c>
      <c r="AC5" s="1"/>
      <c r="AD5" s="3" t="s">
        <v>685</v>
      </c>
    </row>
    <row r="6" spans="1:30" x14ac:dyDescent="0.35">
      <c r="B6" s="36"/>
      <c r="C6" s="3"/>
      <c r="D6" s="3"/>
      <c r="E6" s="3"/>
      <c r="F6" s="3"/>
      <c r="G6" s="3">
        <v>0</v>
      </c>
      <c r="H6" s="3">
        <v>0</v>
      </c>
      <c r="I6" s="4" t="s">
        <v>174</v>
      </c>
      <c r="J6" s="3" t="s">
        <v>689</v>
      </c>
      <c r="K6" s="52">
        <f t="shared" si="0"/>
        <v>8400</v>
      </c>
      <c r="L6" s="7"/>
      <c r="M6" s="7"/>
      <c r="N6" s="7"/>
      <c r="O6" s="7"/>
      <c r="P6" s="49"/>
      <c r="Q6" s="4"/>
      <c r="R6" s="4"/>
      <c r="S6" s="4"/>
      <c r="T6" s="4"/>
      <c r="U6" s="4"/>
      <c r="V6" s="3"/>
      <c r="W6" s="51">
        <f t="shared" si="1"/>
        <v>8.3999999999999995E-3</v>
      </c>
      <c r="X6" s="51"/>
      <c r="Y6" s="3" t="s">
        <v>683</v>
      </c>
      <c r="Z6" s="3">
        <v>8.3999999999999995E-3</v>
      </c>
      <c r="AA6" s="3"/>
      <c r="AB6" s="3" t="s">
        <v>684</v>
      </c>
      <c r="AC6" s="1"/>
      <c r="AD6" s="3" t="s">
        <v>685</v>
      </c>
    </row>
    <row r="7" spans="1:30" x14ac:dyDescent="0.35">
      <c r="B7" s="36"/>
      <c r="C7" s="3"/>
      <c r="D7" s="3"/>
      <c r="E7" s="3"/>
      <c r="F7" s="3"/>
      <c r="G7" s="3">
        <v>0</v>
      </c>
      <c r="H7" s="3">
        <v>0</v>
      </c>
      <c r="I7" s="3" t="s">
        <v>161</v>
      </c>
      <c r="J7" s="3" t="s">
        <v>151</v>
      </c>
      <c r="K7" s="52">
        <f t="shared" si="0"/>
        <v>10088.11</v>
      </c>
      <c r="L7" s="7"/>
      <c r="M7" s="7"/>
      <c r="N7" s="7"/>
      <c r="O7" s="7"/>
      <c r="P7" s="49"/>
      <c r="Q7" s="4"/>
      <c r="R7" s="4"/>
      <c r="S7" s="4"/>
      <c r="T7" s="4"/>
      <c r="U7" s="4"/>
      <c r="V7" s="3"/>
      <c r="W7" s="51">
        <f t="shared" si="1"/>
        <v>1.0088110000000001E-2</v>
      </c>
      <c r="X7" s="51"/>
      <c r="Y7" s="3" t="s">
        <v>683</v>
      </c>
      <c r="Z7" s="3">
        <v>1.0088110000000001E-2</v>
      </c>
      <c r="AA7" s="3"/>
      <c r="AB7" s="3" t="s">
        <v>684</v>
      </c>
      <c r="AC7" s="1"/>
      <c r="AD7" s="3" t="s">
        <v>685</v>
      </c>
    </row>
    <row r="8" spans="1:30" x14ac:dyDescent="0.35">
      <c r="B8" s="36"/>
      <c r="C8" s="3"/>
      <c r="D8" s="3"/>
      <c r="E8" s="3"/>
      <c r="F8" s="3"/>
      <c r="G8" s="3">
        <v>0</v>
      </c>
      <c r="H8" s="3">
        <v>0</v>
      </c>
      <c r="I8" s="3" t="s">
        <v>147</v>
      </c>
      <c r="J8" s="3" t="s">
        <v>690</v>
      </c>
      <c r="K8" s="52">
        <f t="shared" si="0"/>
        <v>28400</v>
      </c>
      <c r="L8" s="7"/>
      <c r="M8" s="7"/>
      <c r="N8" s="7"/>
      <c r="O8" s="7"/>
      <c r="P8" s="49"/>
      <c r="Q8" s="4"/>
      <c r="R8" s="4"/>
      <c r="S8" s="4"/>
      <c r="T8" s="4"/>
      <c r="U8" s="4"/>
      <c r="V8" s="3"/>
      <c r="W8" s="51">
        <f t="shared" si="1"/>
        <v>2.8399999999999998E-2</v>
      </c>
      <c r="X8" s="51"/>
      <c r="Y8" s="3" t="s">
        <v>683</v>
      </c>
      <c r="Z8" s="3">
        <v>2.8400000000000002E-2</v>
      </c>
      <c r="AA8" s="3"/>
      <c r="AB8" s="3" t="s">
        <v>684</v>
      </c>
      <c r="AC8" s="1"/>
      <c r="AD8" s="3" t="s">
        <v>685</v>
      </c>
    </row>
    <row r="9" spans="1:30" x14ac:dyDescent="0.35">
      <c r="B9" s="36"/>
      <c r="C9" s="3"/>
      <c r="D9" s="3"/>
      <c r="E9" s="3"/>
      <c r="F9" s="3"/>
      <c r="G9" s="3">
        <v>0</v>
      </c>
      <c r="H9" s="3">
        <v>0</v>
      </c>
      <c r="I9" s="3" t="s">
        <v>691</v>
      </c>
      <c r="J9" s="3" t="s">
        <v>692</v>
      </c>
      <c r="K9" s="49"/>
      <c r="L9" s="7">
        <v>100</v>
      </c>
      <c r="M9" s="6">
        <f>L9/1000000</f>
        <v>1E-4</v>
      </c>
      <c r="N9" s="7"/>
      <c r="O9" s="7"/>
      <c r="P9" s="50">
        <f>X9*1000000</f>
        <v>1.5E-5</v>
      </c>
      <c r="Q9" s="4"/>
      <c r="R9" s="4"/>
      <c r="S9" s="4"/>
      <c r="T9" s="4"/>
      <c r="U9" s="4"/>
      <c r="V9" s="3"/>
      <c r="W9" s="51"/>
      <c r="X9" s="51">
        <f>15*POWER(10,-12)</f>
        <v>1.5E-11</v>
      </c>
      <c r="Y9" s="3" t="s">
        <v>620</v>
      </c>
      <c r="Z9" s="3"/>
      <c r="AA9" s="3" t="s">
        <v>693</v>
      </c>
      <c r="AB9" s="3" t="s">
        <v>694</v>
      </c>
      <c r="AC9" s="1"/>
      <c r="AD9" s="3"/>
    </row>
    <row r="10" spans="1:30" x14ac:dyDescent="0.35">
      <c r="D10" s="1"/>
      <c r="E10" s="37"/>
      <c r="F10" s="3" t="s">
        <v>695</v>
      </c>
      <c r="G10" s="3">
        <v>3</v>
      </c>
      <c r="H10" s="3" t="s">
        <v>133</v>
      </c>
      <c r="I10" s="3" t="s">
        <v>696</v>
      </c>
      <c r="J10" s="3" t="s">
        <v>93</v>
      </c>
      <c r="K10" s="52"/>
      <c r="L10" s="3"/>
      <c r="M10" s="3"/>
      <c r="N10" s="3">
        <f t="shared" ref="N10:O13" si="2">S10*1000</f>
        <v>1E-10</v>
      </c>
      <c r="O10" s="3">
        <f t="shared" si="2"/>
        <v>1E-10</v>
      </c>
      <c r="P10" s="52">
        <f>AB10*1000</f>
        <v>9.9999999999999998E-17</v>
      </c>
      <c r="Q10" s="3"/>
      <c r="R10" s="3"/>
      <c r="S10" s="3">
        <v>1E-13</v>
      </c>
      <c r="T10" s="3">
        <v>1E-13</v>
      </c>
      <c r="U10" s="4"/>
      <c r="V10" s="3"/>
      <c r="W10" s="51"/>
      <c r="X10" s="51">
        <f>P10/1000</f>
        <v>9.9999999999999998E-20</v>
      </c>
      <c r="Y10" s="3" t="s">
        <v>697</v>
      </c>
      <c r="Z10" s="3"/>
      <c r="AA10" s="3"/>
      <c r="AB10" s="3">
        <v>9.9999999999999998E-20</v>
      </c>
      <c r="AC10" s="3">
        <v>1E-10</v>
      </c>
    </row>
    <row r="11" spans="1:30" x14ac:dyDescent="0.35">
      <c r="D11" s="1"/>
      <c r="E11" s="37"/>
      <c r="F11" s="3" t="s">
        <v>695</v>
      </c>
      <c r="G11" s="3">
        <v>3</v>
      </c>
      <c r="H11" s="3" t="s">
        <v>133</v>
      </c>
      <c r="I11" s="3" t="s">
        <v>696</v>
      </c>
      <c r="J11" s="3" t="s">
        <v>131</v>
      </c>
      <c r="K11" s="52"/>
      <c r="L11" s="3"/>
      <c r="M11" s="3"/>
      <c r="N11" s="3">
        <f t="shared" si="2"/>
        <v>0.01</v>
      </c>
      <c r="O11" s="3">
        <f t="shared" si="2"/>
        <v>0.01</v>
      </c>
      <c r="P11" s="52">
        <f>AC10*1000</f>
        <v>1.0000000000000001E-7</v>
      </c>
      <c r="Q11" s="3"/>
      <c r="R11" s="3"/>
      <c r="S11" s="3">
        <v>1.0000000000000001E-5</v>
      </c>
      <c r="T11" s="3">
        <v>1.0000000000000001E-5</v>
      </c>
      <c r="U11" s="4"/>
      <c r="V11" s="3"/>
      <c r="W11" s="51"/>
      <c r="X11" s="51">
        <f>P11/1000</f>
        <v>1E-10</v>
      </c>
      <c r="Y11" s="3" t="s">
        <v>697</v>
      </c>
      <c r="Z11" s="3"/>
      <c r="AA11" s="3"/>
      <c r="AB11" s="3">
        <v>9.9999999999999998E-20</v>
      </c>
      <c r="AC11" s="3">
        <v>1E-10</v>
      </c>
    </row>
    <row r="12" spans="1:30" x14ac:dyDescent="0.35">
      <c r="D12" s="1"/>
      <c r="E12" s="37"/>
      <c r="F12" s="3" t="s">
        <v>695</v>
      </c>
      <c r="G12" s="3">
        <v>3</v>
      </c>
      <c r="H12" s="3" t="s">
        <v>133</v>
      </c>
      <c r="I12" s="3" t="s">
        <v>147</v>
      </c>
      <c r="J12" s="3" t="s">
        <v>93</v>
      </c>
      <c r="K12" s="52"/>
      <c r="L12" s="3"/>
      <c r="M12" s="3"/>
      <c r="N12" s="3">
        <f t="shared" si="2"/>
        <v>1E-10</v>
      </c>
      <c r="O12" s="3">
        <f t="shared" si="2"/>
        <v>1E-10</v>
      </c>
      <c r="P12" s="52">
        <f>AB12*1000</f>
        <v>1E-10</v>
      </c>
      <c r="Q12" s="3"/>
      <c r="R12" s="3"/>
      <c r="S12" s="3">
        <v>1E-13</v>
      </c>
      <c r="T12" s="3">
        <v>1E-13</v>
      </c>
      <c r="U12" s="4"/>
      <c r="V12" s="3"/>
      <c r="W12" s="51"/>
      <c r="X12" s="51">
        <f>P12/1000</f>
        <v>1E-13</v>
      </c>
      <c r="Y12" s="3" t="s">
        <v>697</v>
      </c>
      <c r="Z12" s="3"/>
      <c r="AA12" s="3"/>
      <c r="AB12" s="3">
        <v>1E-13</v>
      </c>
      <c r="AC12" s="3">
        <v>1.0000000000000001E-5</v>
      </c>
    </row>
    <row r="13" spans="1:30" x14ac:dyDescent="0.35">
      <c r="D13" s="1"/>
      <c r="E13" s="37"/>
      <c r="F13" s="3" t="s">
        <v>695</v>
      </c>
      <c r="G13" s="3">
        <v>3</v>
      </c>
      <c r="H13" s="3" t="s">
        <v>133</v>
      </c>
      <c r="I13" s="3" t="s">
        <v>147</v>
      </c>
      <c r="J13" s="3" t="s">
        <v>131</v>
      </c>
      <c r="K13" s="52"/>
      <c r="L13" s="3"/>
      <c r="M13" s="3"/>
      <c r="N13" s="3">
        <f t="shared" si="2"/>
        <v>0.01</v>
      </c>
      <c r="O13" s="3">
        <f t="shared" si="2"/>
        <v>0.01</v>
      </c>
      <c r="P13" s="52">
        <f>AC12*1000</f>
        <v>0.01</v>
      </c>
      <c r="Q13" s="3"/>
      <c r="R13" s="3"/>
      <c r="S13" s="3">
        <v>1.0000000000000001E-5</v>
      </c>
      <c r="T13" s="3">
        <v>1.0000000000000001E-5</v>
      </c>
      <c r="U13" s="4"/>
      <c r="V13" s="3"/>
      <c r="W13" s="51"/>
      <c r="X13" s="51">
        <f>P13/1000</f>
        <v>1.0000000000000001E-5</v>
      </c>
      <c r="Y13" s="3" t="s">
        <v>697</v>
      </c>
      <c r="Z13" s="3"/>
      <c r="AA13" s="3"/>
      <c r="AB13" s="3">
        <v>1E-13</v>
      </c>
      <c r="AC13" s="3">
        <v>1.0000000000000001E-5</v>
      </c>
    </row>
    <row r="14" spans="1:30" x14ac:dyDescent="0.35">
      <c r="B14" s="36"/>
      <c r="C14" s="3"/>
      <c r="D14" s="3"/>
      <c r="H14" s="3" t="s">
        <v>133</v>
      </c>
      <c r="I14" s="4" t="s">
        <v>147</v>
      </c>
      <c r="J14" s="3" t="s">
        <v>698</v>
      </c>
      <c r="K14" s="49"/>
      <c r="L14" s="40"/>
      <c r="M14" s="6"/>
      <c r="N14" s="7"/>
      <c r="O14" s="7"/>
      <c r="P14" s="50"/>
      <c r="Q14" s="4"/>
      <c r="R14" s="4"/>
      <c r="S14" s="4">
        <v>4.9999999999999998E-7</v>
      </c>
      <c r="T14" s="51"/>
      <c r="U14" s="51"/>
      <c r="V14" s="3" t="s">
        <v>699</v>
      </c>
      <c r="W14" s="3"/>
      <c r="X14" s="3"/>
      <c r="Y14" s="3"/>
      <c r="Z14" s="1"/>
    </row>
    <row r="15" spans="1:30" x14ac:dyDescent="0.35">
      <c r="B15" s="36"/>
      <c r="C15" s="3"/>
      <c r="D15" s="3"/>
      <c r="H15" s="3"/>
      <c r="I15" s="4"/>
      <c r="J15" s="3" t="s">
        <v>700</v>
      </c>
      <c r="K15" s="49"/>
      <c r="L15" s="40"/>
      <c r="M15" s="6"/>
      <c r="N15" s="7"/>
      <c r="O15" s="7"/>
      <c r="P15" s="50"/>
      <c r="Q15" s="4"/>
      <c r="R15" s="4"/>
      <c r="S15" s="4">
        <v>1.2E-2</v>
      </c>
      <c r="T15" s="51"/>
      <c r="U15" s="51"/>
      <c r="V15" s="3" t="s">
        <v>699</v>
      </c>
      <c r="W15" s="3"/>
      <c r="X15" s="3"/>
      <c r="Y15" s="3"/>
      <c r="Z15"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24C73-97E0-4B36-B65D-594F7D0CF18E}">
  <dimension ref="A1:B113"/>
  <sheetViews>
    <sheetView topLeftCell="D8" workbookViewId="0">
      <selection activeCell="D8" sqref="D8"/>
    </sheetView>
  </sheetViews>
  <sheetFormatPr defaultRowHeight="14.5" x14ac:dyDescent="0.35"/>
  <cols>
    <col min="1" max="1" width="9.453125" bestFit="1" customWidth="1"/>
    <col min="2" max="2" width="65.54296875" bestFit="1" customWidth="1"/>
  </cols>
  <sheetData>
    <row r="1" spans="1:2" x14ac:dyDescent="0.35">
      <c r="A1" s="62" t="s">
        <v>23</v>
      </c>
      <c r="B1" s="62" t="s">
        <v>701</v>
      </c>
    </row>
    <row r="2" spans="1:2" x14ac:dyDescent="0.35">
      <c r="A2" t="s">
        <v>526</v>
      </c>
      <c r="B2" t="s">
        <v>702</v>
      </c>
    </row>
    <row r="3" spans="1:2" x14ac:dyDescent="0.35">
      <c r="A3" t="s">
        <v>526</v>
      </c>
      <c r="B3" t="s">
        <v>703</v>
      </c>
    </row>
    <row r="4" spans="1:2" x14ac:dyDescent="0.35">
      <c r="A4" t="s">
        <v>526</v>
      </c>
      <c r="B4" t="s">
        <v>704</v>
      </c>
    </row>
    <row r="5" spans="1:2" x14ac:dyDescent="0.35">
      <c r="A5" t="s">
        <v>526</v>
      </c>
      <c r="B5" t="s">
        <v>705</v>
      </c>
    </row>
    <row r="6" spans="1:2" x14ac:dyDescent="0.35">
      <c r="A6" t="s">
        <v>526</v>
      </c>
      <c r="B6" t="s">
        <v>706</v>
      </c>
    </row>
    <row r="7" spans="1:2" x14ac:dyDescent="0.35">
      <c r="A7" t="s">
        <v>526</v>
      </c>
      <c r="B7" t="s">
        <v>707</v>
      </c>
    </row>
    <row r="8" spans="1:2" x14ac:dyDescent="0.35">
      <c r="A8" t="s">
        <v>526</v>
      </c>
      <c r="B8" t="s">
        <v>708</v>
      </c>
    </row>
    <row r="9" spans="1:2" x14ac:dyDescent="0.35">
      <c r="A9" t="s">
        <v>526</v>
      </c>
      <c r="B9" t="s">
        <v>709</v>
      </c>
    </row>
    <row r="10" spans="1:2" x14ac:dyDescent="0.35">
      <c r="A10" t="s">
        <v>526</v>
      </c>
      <c r="B10" t="s">
        <v>710</v>
      </c>
    </row>
    <row r="11" spans="1:2" x14ac:dyDescent="0.35">
      <c r="A11" t="s">
        <v>526</v>
      </c>
      <c r="B11" t="s">
        <v>711</v>
      </c>
    </row>
    <row r="12" spans="1:2" x14ac:dyDescent="0.35">
      <c r="A12" t="s">
        <v>526</v>
      </c>
      <c r="B12" t="s">
        <v>712</v>
      </c>
    </row>
    <row r="13" spans="1:2" x14ac:dyDescent="0.35">
      <c r="A13" t="s">
        <v>526</v>
      </c>
      <c r="B13" t="s">
        <v>713</v>
      </c>
    </row>
    <row r="14" spans="1:2" x14ac:dyDescent="0.35">
      <c r="A14" t="s">
        <v>526</v>
      </c>
      <c r="B14" t="s">
        <v>714</v>
      </c>
    </row>
    <row r="15" spans="1:2" x14ac:dyDescent="0.35">
      <c r="A15" t="s">
        <v>526</v>
      </c>
      <c r="B15" t="s">
        <v>715</v>
      </c>
    </row>
    <row r="16" spans="1:2" x14ac:dyDescent="0.35">
      <c r="A16" t="s">
        <v>526</v>
      </c>
      <c r="B16" t="s">
        <v>716</v>
      </c>
    </row>
    <row r="17" spans="1:2" x14ac:dyDescent="0.35">
      <c r="A17" t="s">
        <v>526</v>
      </c>
      <c r="B17" t="s">
        <v>717</v>
      </c>
    </row>
    <row r="18" spans="1:2" x14ac:dyDescent="0.35">
      <c r="A18" t="s">
        <v>526</v>
      </c>
      <c r="B18" t="s">
        <v>718</v>
      </c>
    </row>
    <row r="19" spans="1:2" x14ac:dyDescent="0.35">
      <c r="A19" t="s">
        <v>526</v>
      </c>
      <c r="B19" t="s">
        <v>719</v>
      </c>
    </row>
    <row r="20" spans="1:2" x14ac:dyDescent="0.35">
      <c r="A20" t="s">
        <v>526</v>
      </c>
      <c r="B20" t="s">
        <v>720</v>
      </c>
    </row>
    <row r="21" spans="1:2" x14ac:dyDescent="0.35">
      <c r="A21" t="s">
        <v>526</v>
      </c>
      <c r="B21" t="s">
        <v>721</v>
      </c>
    </row>
    <row r="22" spans="1:2" x14ac:dyDescent="0.35">
      <c r="A22" t="s">
        <v>526</v>
      </c>
      <c r="B22" t="s">
        <v>722</v>
      </c>
    </row>
    <row r="23" spans="1:2" x14ac:dyDescent="0.35">
      <c r="A23" t="s">
        <v>526</v>
      </c>
      <c r="B23" t="s">
        <v>723</v>
      </c>
    </row>
    <row r="24" spans="1:2" x14ac:dyDescent="0.35">
      <c r="A24" t="s">
        <v>526</v>
      </c>
      <c r="B24" t="s">
        <v>724</v>
      </c>
    </row>
    <row r="25" spans="1:2" x14ac:dyDescent="0.35">
      <c r="A25" t="s">
        <v>526</v>
      </c>
      <c r="B25" t="s">
        <v>725</v>
      </c>
    </row>
    <row r="26" spans="1:2" x14ac:dyDescent="0.35">
      <c r="A26" t="s">
        <v>526</v>
      </c>
      <c r="B26" t="s">
        <v>726</v>
      </c>
    </row>
    <row r="27" spans="1:2" x14ac:dyDescent="0.35">
      <c r="A27" t="s">
        <v>526</v>
      </c>
      <c r="B27" t="s">
        <v>727</v>
      </c>
    </row>
    <row r="28" spans="1:2" x14ac:dyDescent="0.35">
      <c r="A28" t="s">
        <v>526</v>
      </c>
      <c r="B28" t="s">
        <v>728</v>
      </c>
    </row>
    <row r="29" spans="1:2" x14ac:dyDescent="0.35">
      <c r="A29" t="s">
        <v>526</v>
      </c>
      <c r="B29" t="s">
        <v>729</v>
      </c>
    </row>
    <row r="30" spans="1:2" x14ac:dyDescent="0.35">
      <c r="A30" t="s">
        <v>526</v>
      </c>
      <c r="B30" t="s">
        <v>730</v>
      </c>
    </row>
    <row r="31" spans="1:2" x14ac:dyDescent="0.35">
      <c r="A31" t="s">
        <v>526</v>
      </c>
      <c r="B31" t="s">
        <v>731</v>
      </c>
    </row>
    <row r="32" spans="1:2" x14ac:dyDescent="0.35">
      <c r="A32" t="s">
        <v>526</v>
      </c>
      <c r="B32" t="s">
        <v>732</v>
      </c>
    </row>
    <row r="33" spans="1:2" x14ac:dyDescent="0.35">
      <c r="A33" t="s">
        <v>526</v>
      </c>
      <c r="B33" t="s">
        <v>733</v>
      </c>
    </row>
    <row r="34" spans="1:2" x14ac:dyDescent="0.35">
      <c r="A34" t="s">
        <v>526</v>
      </c>
      <c r="B34" t="s">
        <v>734</v>
      </c>
    </row>
    <row r="35" spans="1:2" x14ac:dyDescent="0.35">
      <c r="A35" t="s">
        <v>526</v>
      </c>
      <c r="B35" t="s">
        <v>735</v>
      </c>
    </row>
    <row r="36" spans="1:2" x14ac:dyDescent="0.35">
      <c r="A36" t="s">
        <v>526</v>
      </c>
      <c r="B36" t="s">
        <v>736</v>
      </c>
    </row>
    <row r="37" spans="1:2" x14ac:dyDescent="0.35">
      <c r="A37" t="s">
        <v>526</v>
      </c>
      <c r="B37" t="s">
        <v>737</v>
      </c>
    </row>
    <row r="38" spans="1:2" x14ac:dyDescent="0.35">
      <c r="A38" t="s">
        <v>526</v>
      </c>
      <c r="B38" t="s">
        <v>738</v>
      </c>
    </row>
    <row r="39" spans="1:2" x14ac:dyDescent="0.35">
      <c r="A39" t="s">
        <v>526</v>
      </c>
      <c r="B39" t="s">
        <v>739</v>
      </c>
    </row>
    <row r="40" spans="1:2" x14ac:dyDescent="0.35">
      <c r="A40" t="s">
        <v>526</v>
      </c>
      <c r="B40" t="s">
        <v>740</v>
      </c>
    </row>
    <row r="41" spans="1:2" x14ac:dyDescent="0.35">
      <c r="A41" t="s">
        <v>526</v>
      </c>
      <c r="B41" t="s">
        <v>741</v>
      </c>
    </row>
    <row r="42" spans="1:2" x14ac:dyDescent="0.35">
      <c r="A42" t="s">
        <v>526</v>
      </c>
      <c r="B42" t="s">
        <v>742</v>
      </c>
    </row>
    <row r="43" spans="1:2" x14ac:dyDescent="0.35">
      <c r="A43" t="s">
        <v>526</v>
      </c>
      <c r="B43" t="s">
        <v>743</v>
      </c>
    </row>
    <row r="44" spans="1:2" x14ac:dyDescent="0.35">
      <c r="A44" t="s">
        <v>526</v>
      </c>
      <c r="B44" t="s">
        <v>744</v>
      </c>
    </row>
    <row r="45" spans="1:2" x14ac:dyDescent="0.35">
      <c r="A45" t="s">
        <v>745</v>
      </c>
      <c r="B45" t="s">
        <v>746</v>
      </c>
    </row>
    <row r="46" spans="1:2" x14ac:dyDescent="0.35">
      <c r="A46" t="s">
        <v>745</v>
      </c>
      <c r="B46" t="s">
        <v>747</v>
      </c>
    </row>
    <row r="47" spans="1:2" x14ac:dyDescent="0.35">
      <c r="A47" t="s">
        <v>745</v>
      </c>
      <c r="B47" t="s">
        <v>748</v>
      </c>
    </row>
    <row r="48" spans="1:2" x14ac:dyDescent="0.35">
      <c r="A48" t="s">
        <v>745</v>
      </c>
      <c r="B48" t="s">
        <v>749</v>
      </c>
    </row>
    <row r="49" spans="1:2" x14ac:dyDescent="0.35">
      <c r="A49" t="s">
        <v>745</v>
      </c>
      <c r="B49" t="s">
        <v>750</v>
      </c>
    </row>
    <row r="50" spans="1:2" x14ac:dyDescent="0.35">
      <c r="A50" t="s">
        <v>745</v>
      </c>
      <c r="B50" t="s">
        <v>751</v>
      </c>
    </row>
    <row r="51" spans="1:2" x14ac:dyDescent="0.35">
      <c r="A51" t="s">
        <v>745</v>
      </c>
      <c r="B51" t="s">
        <v>752</v>
      </c>
    </row>
    <row r="52" spans="1:2" x14ac:dyDescent="0.35">
      <c r="A52" t="s">
        <v>745</v>
      </c>
      <c r="B52" t="s">
        <v>753</v>
      </c>
    </row>
    <row r="53" spans="1:2" x14ac:dyDescent="0.35">
      <c r="A53" t="s">
        <v>745</v>
      </c>
      <c r="B53" t="s">
        <v>754</v>
      </c>
    </row>
    <row r="54" spans="1:2" x14ac:dyDescent="0.35">
      <c r="A54" t="s">
        <v>745</v>
      </c>
      <c r="B54" t="s">
        <v>755</v>
      </c>
    </row>
    <row r="55" spans="1:2" x14ac:dyDescent="0.35">
      <c r="A55" t="s">
        <v>745</v>
      </c>
      <c r="B55" t="s">
        <v>756</v>
      </c>
    </row>
    <row r="56" spans="1:2" x14ac:dyDescent="0.35">
      <c r="A56" t="s">
        <v>745</v>
      </c>
      <c r="B56" t="s">
        <v>757</v>
      </c>
    </row>
    <row r="57" spans="1:2" x14ac:dyDescent="0.35">
      <c r="A57" t="s">
        <v>745</v>
      </c>
      <c r="B57" t="s">
        <v>758</v>
      </c>
    </row>
    <row r="58" spans="1:2" x14ac:dyDescent="0.35">
      <c r="A58" t="s">
        <v>745</v>
      </c>
      <c r="B58" t="s">
        <v>759</v>
      </c>
    </row>
    <row r="59" spans="1:2" x14ac:dyDescent="0.35">
      <c r="A59" t="s">
        <v>745</v>
      </c>
      <c r="B59" t="s">
        <v>760</v>
      </c>
    </row>
    <row r="60" spans="1:2" x14ac:dyDescent="0.35">
      <c r="A60" t="s">
        <v>745</v>
      </c>
      <c r="B60" t="s">
        <v>761</v>
      </c>
    </row>
    <row r="61" spans="1:2" x14ac:dyDescent="0.35">
      <c r="A61" t="s">
        <v>745</v>
      </c>
      <c r="B61" t="s">
        <v>762</v>
      </c>
    </row>
    <row r="62" spans="1:2" x14ac:dyDescent="0.35">
      <c r="A62" t="s">
        <v>745</v>
      </c>
      <c r="B62" t="s">
        <v>763</v>
      </c>
    </row>
    <row r="63" spans="1:2" x14ac:dyDescent="0.35">
      <c r="A63" t="s">
        <v>745</v>
      </c>
      <c r="B63" t="s">
        <v>764</v>
      </c>
    </row>
    <row r="64" spans="1:2" x14ac:dyDescent="0.35">
      <c r="A64" t="s">
        <v>745</v>
      </c>
      <c r="B64" t="s">
        <v>765</v>
      </c>
    </row>
    <row r="65" spans="1:2" x14ac:dyDescent="0.35">
      <c r="A65" t="s">
        <v>745</v>
      </c>
      <c r="B65" t="s">
        <v>766</v>
      </c>
    </row>
    <row r="66" spans="1:2" x14ac:dyDescent="0.35">
      <c r="A66" t="s">
        <v>745</v>
      </c>
      <c r="B66" t="s">
        <v>767</v>
      </c>
    </row>
    <row r="67" spans="1:2" x14ac:dyDescent="0.35">
      <c r="A67" t="s">
        <v>745</v>
      </c>
      <c r="B67" t="s">
        <v>768</v>
      </c>
    </row>
    <row r="68" spans="1:2" x14ac:dyDescent="0.35">
      <c r="A68" t="s">
        <v>745</v>
      </c>
      <c r="B68" t="s">
        <v>769</v>
      </c>
    </row>
    <row r="69" spans="1:2" x14ac:dyDescent="0.35">
      <c r="A69" t="s">
        <v>745</v>
      </c>
      <c r="B69" t="s">
        <v>770</v>
      </c>
    </row>
    <row r="70" spans="1:2" x14ac:dyDescent="0.35">
      <c r="A70" t="s">
        <v>745</v>
      </c>
      <c r="B70" t="s">
        <v>771</v>
      </c>
    </row>
    <row r="71" spans="1:2" x14ac:dyDescent="0.35">
      <c r="A71" t="s">
        <v>745</v>
      </c>
      <c r="B71" t="s">
        <v>772</v>
      </c>
    </row>
    <row r="72" spans="1:2" x14ac:dyDescent="0.35">
      <c r="A72" t="s">
        <v>745</v>
      </c>
      <c r="B72" t="s">
        <v>773</v>
      </c>
    </row>
    <row r="73" spans="1:2" x14ac:dyDescent="0.35">
      <c r="A73" t="s">
        <v>745</v>
      </c>
      <c r="B73" t="s">
        <v>774</v>
      </c>
    </row>
    <row r="74" spans="1:2" x14ac:dyDescent="0.35">
      <c r="A74" t="s">
        <v>745</v>
      </c>
      <c r="B74" t="s">
        <v>775</v>
      </c>
    </row>
    <row r="75" spans="1:2" x14ac:dyDescent="0.35">
      <c r="A75" t="s">
        <v>745</v>
      </c>
      <c r="B75" t="s">
        <v>776</v>
      </c>
    </row>
    <row r="76" spans="1:2" x14ac:dyDescent="0.35">
      <c r="A76" t="s">
        <v>745</v>
      </c>
      <c r="B76" t="s">
        <v>777</v>
      </c>
    </row>
    <row r="77" spans="1:2" x14ac:dyDescent="0.35">
      <c r="A77" t="s">
        <v>745</v>
      </c>
      <c r="B77" t="s">
        <v>778</v>
      </c>
    </row>
    <row r="78" spans="1:2" x14ac:dyDescent="0.35">
      <c r="A78" t="s">
        <v>745</v>
      </c>
      <c r="B78" t="s">
        <v>779</v>
      </c>
    </row>
    <row r="79" spans="1:2" x14ac:dyDescent="0.35">
      <c r="A79" t="s">
        <v>745</v>
      </c>
      <c r="B79" t="s">
        <v>780</v>
      </c>
    </row>
    <row r="80" spans="1:2" x14ac:dyDescent="0.35">
      <c r="A80" t="s">
        <v>745</v>
      </c>
      <c r="B80" t="s">
        <v>781</v>
      </c>
    </row>
    <row r="81" spans="1:2" x14ac:dyDescent="0.35">
      <c r="A81" t="s">
        <v>745</v>
      </c>
      <c r="B81" t="s">
        <v>737</v>
      </c>
    </row>
    <row r="82" spans="1:2" x14ac:dyDescent="0.35">
      <c r="A82" t="s">
        <v>745</v>
      </c>
      <c r="B82" t="s">
        <v>782</v>
      </c>
    </row>
    <row r="83" spans="1:2" x14ac:dyDescent="0.35">
      <c r="A83" t="s">
        <v>745</v>
      </c>
      <c r="B83" t="s">
        <v>783</v>
      </c>
    </row>
    <row r="84" spans="1:2" x14ac:dyDescent="0.35">
      <c r="A84" t="s">
        <v>745</v>
      </c>
      <c r="B84" t="s">
        <v>784</v>
      </c>
    </row>
    <row r="85" spans="1:2" x14ac:dyDescent="0.35">
      <c r="A85" t="s">
        <v>745</v>
      </c>
      <c r="B85" t="s">
        <v>785</v>
      </c>
    </row>
    <row r="86" spans="1:2" x14ac:dyDescent="0.35">
      <c r="A86" t="s">
        <v>745</v>
      </c>
      <c r="B86" t="s">
        <v>786</v>
      </c>
    </row>
    <row r="87" spans="1:2" x14ac:dyDescent="0.35">
      <c r="A87" t="s">
        <v>745</v>
      </c>
      <c r="B87" t="s">
        <v>787</v>
      </c>
    </row>
    <row r="88" spans="1:2" x14ac:dyDescent="0.35">
      <c r="A88" t="s">
        <v>745</v>
      </c>
      <c r="B88" t="s">
        <v>788</v>
      </c>
    </row>
    <row r="89" spans="1:2" x14ac:dyDescent="0.35">
      <c r="A89" t="s">
        <v>745</v>
      </c>
      <c r="B89" t="s">
        <v>789</v>
      </c>
    </row>
    <row r="90" spans="1:2" x14ac:dyDescent="0.35">
      <c r="A90" t="s">
        <v>745</v>
      </c>
      <c r="B90" t="s">
        <v>790</v>
      </c>
    </row>
    <row r="91" spans="1:2" x14ac:dyDescent="0.35">
      <c r="A91" t="s">
        <v>745</v>
      </c>
      <c r="B91" t="s">
        <v>790</v>
      </c>
    </row>
    <row r="92" spans="1:2" x14ac:dyDescent="0.35">
      <c r="A92" t="s">
        <v>745</v>
      </c>
      <c r="B92" t="s">
        <v>791</v>
      </c>
    </row>
    <row r="93" spans="1:2" x14ac:dyDescent="0.35">
      <c r="A93" t="s">
        <v>745</v>
      </c>
      <c r="B93" t="s">
        <v>792</v>
      </c>
    </row>
    <row r="94" spans="1:2" x14ac:dyDescent="0.35">
      <c r="A94" t="s">
        <v>506</v>
      </c>
      <c r="B94" t="s">
        <v>793</v>
      </c>
    </row>
    <row r="95" spans="1:2" x14ac:dyDescent="0.35">
      <c r="A95" t="s">
        <v>506</v>
      </c>
      <c r="B95" t="s">
        <v>794</v>
      </c>
    </row>
    <row r="96" spans="1:2" x14ac:dyDescent="0.35">
      <c r="A96" t="s">
        <v>506</v>
      </c>
      <c r="B96" t="s">
        <v>795</v>
      </c>
    </row>
    <row r="97" spans="1:2" x14ac:dyDescent="0.35">
      <c r="A97" t="s">
        <v>506</v>
      </c>
      <c r="B97" t="s">
        <v>796</v>
      </c>
    </row>
    <row r="98" spans="1:2" x14ac:dyDescent="0.35">
      <c r="A98" t="s">
        <v>506</v>
      </c>
      <c r="B98" t="s">
        <v>797</v>
      </c>
    </row>
    <row r="99" spans="1:2" x14ac:dyDescent="0.35">
      <c r="A99" t="s">
        <v>506</v>
      </c>
      <c r="B99" t="s">
        <v>798</v>
      </c>
    </row>
    <row r="100" spans="1:2" x14ac:dyDescent="0.35">
      <c r="A100" t="s">
        <v>506</v>
      </c>
      <c r="B100" t="s">
        <v>799</v>
      </c>
    </row>
    <row r="101" spans="1:2" x14ac:dyDescent="0.35">
      <c r="A101" t="s">
        <v>506</v>
      </c>
      <c r="B101" t="s">
        <v>800</v>
      </c>
    </row>
    <row r="102" spans="1:2" x14ac:dyDescent="0.35">
      <c r="A102" t="s">
        <v>506</v>
      </c>
      <c r="B102" t="s">
        <v>801</v>
      </c>
    </row>
    <row r="103" spans="1:2" x14ac:dyDescent="0.35">
      <c r="A103" t="s">
        <v>506</v>
      </c>
      <c r="B103" t="s">
        <v>802</v>
      </c>
    </row>
    <row r="104" spans="1:2" x14ac:dyDescent="0.35">
      <c r="A104" t="s">
        <v>506</v>
      </c>
      <c r="B104" t="s">
        <v>803</v>
      </c>
    </row>
    <row r="105" spans="1:2" x14ac:dyDescent="0.35">
      <c r="A105" t="s">
        <v>506</v>
      </c>
      <c r="B105" t="s">
        <v>804</v>
      </c>
    </row>
    <row r="106" spans="1:2" x14ac:dyDescent="0.35">
      <c r="A106" t="s">
        <v>506</v>
      </c>
      <c r="B106" t="s">
        <v>805</v>
      </c>
    </row>
    <row r="107" spans="1:2" x14ac:dyDescent="0.35">
      <c r="A107" t="s">
        <v>506</v>
      </c>
      <c r="B107" t="s">
        <v>806</v>
      </c>
    </row>
    <row r="108" spans="1:2" x14ac:dyDescent="0.35">
      <c r="A108" t="s">
        <v>506</v>
      </c>
      <c r="B108" t="s">
        <v>807</v>
      </c>
    </row>
    <row r="109" spans="1:2" x14ac:dyDescent="0.35">
      <c r="A109" t="s">
        <v>506</v>
      </c>
      <c r="B109" t="s">
        <v>808</v>
      </c>
    </row>
    <row r="110" spans="1:2" x14ac:dyDescent="0.35">
      <c r="A110" t="s">
        <v>506</v>
      </c>
      <c r="B110" t="s">
        <v>809</v>
      </c>
    </row>
    <row r="111" spans="1:2" x14ac:dyDescent="0.35">
      <c r="A111" t="s">
        <v>506</v>
      </c>
      <c r="B111" t="s">
        <v>810</v>
      </c>
    </row>
    <row r="112" spans="1:2" x14ac:dyDescent="0.35">
      <c r="A112" t="s">
        <v>506</v>
      </c>
      <c r="B112" t="s">
        <v>811</v>
      </c>
    </row>
    <row r="113" spans="1:2" x14ac:dyDescent="0.35">
      <c r="A113" t="s">
        <v>506</v>
      </c>
      <c r="B113" t="s">
        <v>812</v>
      </c>
    </row>
  </sheetData>
  <sortState xmlns:xlrd2="http://schemas.microsoft.com/office/spreadsheetml/2017/richdata2" ref="A2:B115">
    <sortCondition ref="A2:A115"/>
    <sortCondition ref="B2:B11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1a</vt:lpstr>
      <vt:lpstr>1b</vt:lpstr>
      <vt:lpstr>2</vt:lpstr>
      <vt:lpstr>3</vt:lpstr>
      <vt:lpstr>4</vt:lpstr>
      <vt:lpstr>5</vt:lpstr>
      <vt:lpstr>6</vt:lpstr>
      <vt:lpstr>7</vt:lpstr>
      <vt:lpstr>8 glossary</vt:lpstr>
      <vt:lpstr>9 fig. 1</vt:lpstr>
      <vt:lpstr>10_Dan</vt:lpstr>
      <vt:lpstr>10 fig. 2</vt:lpstr>
      <vt:lpstr>10 data excluded from 1a</vt:lpstr>
      <vt:lpstr>Dumont et al. 1974</vt:lpstr>
    </vt:vector>
  </TitlesOfParts>
  <Manager/>
  <Company>Brunel University London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 Reiss (Staff)</dc:creator>
  <cp:keywords/>
  <dc:description/>
  <cp:lastModifiedBy>Julia Reiss (Staff)</cp:lastModifiedBy>
  <cp:revision/>
  <dcterms:created xsi:type="dcterms:W3CDTF">2024-09-17T12:59:19Z</dcterms:created>
  <dcterms:modified xsi:type="dcterms:W3CDTF">2025-10-17T14:11:47Z</dcterms:modified>
  <cp:category/>
  <cp:contentStatus/>
</cp:coreProperties>
</file>